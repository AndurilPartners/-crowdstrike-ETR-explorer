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654509A6-9534-4890-BAB9-FBE0B86CAD76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Home" sheetId="1" r:id="rId1"/>
    <sheet name="Workflow Guide" sheetId="2" r:id="rId2"/>
    <sheet name="Evidence Intake Form" sheetId="3" r:id="rId3"/>
    <sheet name="Add Evidence" sheetId="4" r:id="rId4"/>
    <sheet name="Sources" sheetId="5" r:id="rId5"/>
    <sheet name="Evidence Library" sheetId="6" r:id="rId6"/>
    <sheet name="Signal Builder" sheetId="7" r:id="rId7"/>
    <sheet name="Research Lineage" sheetId="8" r:id="rId8"/>
    <sheet name="KPI Bridge" sheetId="9" r:id="rId9"/>
    <sheet name="Research Queue" sheetId="10" r:id="rId10"/>
    <sheet name="Rules &amp; Methodology" sheetId="11" r:id="rId11"/>
    <sheet name="Executive Brief" sheetId="12" r:id="rId12"/>
    <sheet name="Sunday Signal" sheetId="13" r:id="rId13"/>
    <sheet name="_Legacy Evidence Relationships" sheetId="14" state="hidden" r:id="rId14"/>
    <sheet name="_Lists" sheetId="15" state="hidden" r:id="rId15"/>
    <sheet name="_Raw_Z_Score" sheetId="16" state="hidden" r:id="rId16"/>
    <sheet name="_Raw_Pervasion_Trend" sheetId="17" state="hidden" r:id="rId17"/>
    <sheet name="_Raw_Region" sheetId="18" state="hidden" r:id="rId18"/>
    <sheet name="_Raw_Subsample_Cuts" sheetId="19" state="hidden" r:id="rId19"/>
    <sheet name="_Raw_Vendor_View" sheetId="20" state="hidden" r:id="rId20"/>
    <sheet name="_Raw_Peer_Trends" sheetId="21" state="hidden" r:id="rId21"/>
    <sheet name="_Raw_Adoption_Reasons" sheetId="22" state="hidden" r:id="rId22"/>
    <sheet name="_Raw_Job_Titles" sheetId="23" state="hidden" r:id="rId23"/>
    <sheet name="Update Email" sheetId="24" r:id="rId24"/>
  </sheets>
  <definedNames>
    <definedName name="_xlnm._FilterDatabase" localSheetId="5" hidden="1">'Evidence Library'!$A$5:$W$105</definedName>
    <definedName name="_xlnm._FilterDatabase" localSheetId="7" hidden="1">'Research Lineage'!$A$13:$K$199</definedName>
    <definedName name="_xlnm._FilterDatabase" localSheetId="8" hidden="1">'KPI Bridge'!$A$5:$L$20</definedName>
    <definedName name="_xlnm._FilterDatabase" localSheetId="9" hidden="1">'Research Queue'!$A$5:$J$57</definedName>
    <definedName name="_xlnm._FilterDatabase" localSheetId="13" hidden="1">'_Legacy Evidence Relationships'!$A$5:$H$78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9" i="8" l="1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W110" i="4"/>
  <c r="A110" i="4"/>
  <c r="W109" i="4"/>
  <c r="A109" i="4"/>
  <c r="W108" i="4"/>
  <c r="A108" i="4"/>
  <c r="W107" i="4"/>
  <c r="A107" i="4"/>
  <c r="W106" i="4"/>
  <c r="A106" i="4"/>
  <c r="W105" i="4"/>
  <c r="A105" i="4"/>
  <c r="W104" i="4"/>
  <c r="A104" i="4"/>
  <c r="W103" i="4"/>
  <c r="A103" i="4"/>
  <c r="W102" i="4"/>
  <c r="A102" i="4"/>
  <c r="W101" i="4"/>
  <c r="A101" i="4"/>
  <c r="W100" i="4"/>
  <c r="A100" i="4"/>
  <c r="W99" i="4"/>
  <c r="A99" i="4"/>
  <c r="W98" i="4"/>
  <c r="A98" i="4"/>
  <c r="W97" i="4"/>
  <c r="A97" i="4"/>
  <c r="W96" i="4"/>
  <c r="A96" i="4"/>
  <c r="W95" i="4"/>
  <c r="A95" i="4"/>
  <c r="W94" i="4"/>
  <c r="A94" i="4"/>
  <c r="W93" i="4"/>
  <c r="A93" i="4"/>
  <c r="W92" i="4"/>
  <c r="A92" i="4"/>
  <c r="W91" i="4"/>
  <c r="A91" i="4"/>
  <c r="W90" i="4"/>
  <c r="A90" i="4"/>
  <c r="W89" i="4"/>
  <c r="A89" i="4"/>
  <c r="W88" i="4"/>
  <c r="A88" i="4"/>
  <c r="W87" i="4"/>
  <c r="A87" i="4"/>
  <c r="W86" i="4"/>
  <c r="A86" i="4"/>
  <c r="W85" i="4"/>
  <c r="A85" i="4"/>
  <c r="W84" i="4"/>
  <c r="A84" i="4"/>
  <c r="W83" i="4"/>
  <c r="A83" i="4"/>
  <c r="W82" i="4"/>
  <c r="A82" i="4"/>
  <c r="W81" i="4"/>
  <c r="A81" i="4"/>
  <c r="W80" i="4"/>
  <c r="A80" i="4"/>
  <c r="W79" i="4"/>
  <c r="A79" i="4"/>
  <c r="W78" i="4"/>
  <c r="A78" i="4"/>
  <c r="W77" i="4"/>
  <c r="A77" i="4"/>
  <c r="W76" i="4"/>
  <c r="A76" i="4"/>
  <c r="W75" i="4"/>
  <c r="A75" i="4"/>
  <c r="W74" i="4"/>
  <c r="A74" i="4"/>
  <c r="W73" i="4"/>
  <c r="A73" i="4"/>
  <c r="W72" i="4"/>
  <c r="A72" i="4"/>
  <c r="W71" i="4"/>
  <c r="A71" i="4"/>
  <c r="W70" i="4"/>
  <c r="A70" i="4"/>
  <c r="W69" i="4"/>
  <c r="A69" i="4"/>
  <c r="W68" i="4"/>
  <c r="A68" i="4"/>
  <c r="W67" i="4"/>
  <c r="A67" i="4"/>
  <c r="W66" i="4"/>
  <c r="A66" i="4"/>
  <c r="W65" i="4"/>
  <c r="A65" i="4"/>
  <c r="W64" i="4"/>
  <c r="A64" i="4"/>
  <c r="W63" i="4"/>
  <c r="A63" i="4"/>
  <c r="W62" i="4"/>
  <c r="A62" i="4"/>
  <c r="W61" i="4"/>
  <c r="A61" i="4"/>
  <c r="W60" i="4"/>
  <c r="A60" i="4"/>
  <c r="W59" i="4"/>
  <c r="A59" i="4"/>
  <c r="W58" i="4"/>
  <c r="A58" i="4"/>
  <c r="W57" i="4"/>
  <c r="A57" i="4"/>
  <c r="W56" i="4"/>
  <c r="A56" i="4"/>
  <c r="W55" i="4"/>
  <c r="A55" i="4"/>
  <c r="W54" i="4"/>
  <c r="A54" i="4"/>
  <c r="W53" i="4"/>
  <c r="A53" i="4"/>
  <c r="W52" i="4"/>
  <c r="A52" i="4"/>
  <c r="W51" i="4"/>
  <c r="A51" i="4"/>
  <c r="W50" i="4"/>
  <c r="A50" i="4"/>
  <c r="W49" i="4"/>
  <c r="A49" i="4"/>
  <c r="W48" i="4"/>
  <c r="A48" i="4"/>
  <c r="W47" i="4"/>
  <c r="A47" i="4"/>
  <c r="W46" i="4"/>
  <c r="A46" i="4"/>
  <c r="W45" i="4"/>
  <c r="A45" i="4"/>
  <c r="W44" i="4"/>
  <c r="A44" i="4"/>
  <c r="W43" i="4"/>
  <c r="A43" i="4"/>
  <c r="W42" i="4"/>
  <c r="A42" i="4"/>
  <c r="W41" i="4"/>
  <c r="A41" i="4"/>
  <c r="W40" i="4"/>
  <c r="A40" i="4"/>
  <c r="W39" i="4"/>
  <c r="A39" i="4"/>
  <c r="W38" i="4"/>
  <c r="A38" i="4"/>
  <c r="W37" i="4"/>
  <c r="A37" i="4"/>
  <c r="W36" i="4"/>
  <c r="A36" i="4"/>
  <c r="W35" i="4"/>
  <c r="A35" i="4"/>
  <c r="W34" i="4"/>
  <c r="A34" i="4"/>
  <c r="W33" i="4"/>
  <c r="A33" i="4"/>
  <c r="W32" i="4"/>
  <c r="A32" i="4"/>
  <c r="W31" i="4"/>
  <c r="A31" i="4"/>
  <c r="W30" i="4"/>
  <c r="A30" i="4"/>
  <c r="W29" i="4"/>
  <c r="A29" i="4"/>
  <c r="W28" i="4"/>
  <c r="A28" i="4"/>
  <c r="W27" i="4"/>
  <c r="A27" i="4"/>
  <c r="W26" i="4"/>
  <c r="A26" i="4"/>
  <c r="W25" i="4"/>
  <c r="A25" i="4"/>
  <c r="W24" i="4"/>
  <c r="A24" i="4"/>
  <c r="W23" i="4"/>
  <c r="A23" i="4"/>
  <c r="W22" i="4"/>
  <c r="A22" i="4"/>
  <c r="W21" i="4"/>
  <c r="A21" i="4"/>
  <c r="W20" i="4"/>
  <c r="A20" i="4"/>
  <c r="W19" i="4"/>
  <c r="A19" i="4"/>
  <c r="W18" i="4"/>
  <c r="A18" i="4"/>
  <c r="W17" i="4"/>
  <c r="A17" i="4"/>
  <c r="W16" i="4"/>
  <c r="A16" i="4"/>
  <c r="W15" i="4"/>
  <c r="A15" i="4"/>
  <c r="W14" i="4"/>
  <c r="A14" i="4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C52" i="3"/>
  <c r="W61" i="3" s="1"/>
</calcChain>
</file>

<file path=xl/sharedStrings.xml><?xml version="1.0" encoding="utf-8"?>
<sst xmlns="http://schemas.openxmlformats.org/spreadsheetml/2006/main" count="6720" uniqueCount="2908">
  <si>
    <t>CrowdStrike REVEAL V5.0 — Research Lineage Workbench</t>
  </si>
  <si>
    <t>A simplified analyst workspace: add evidence once, qualify it, build signals, apply rules, and reuse the same research in multiple outputs.</t>
  </si>
  <si>
    <t>Simple workflow</t>
  </si>
  <si>
    <t>1. SOURCES</t>
  </si>
  <si>
    <t>2. CAPTURE</t>
  </si>
  <si>
    <t>3. QUALIFY</t>
  </si>
  <si>
    <t>4. SIGNALS</t>
  </si>
  <si>
    <t>5. LINEAGE → KPI → OUTPUT</t>
  </si>
  <si>
    <t>Color key — one color, one meaning</t>
  </si>
  <si>
    <t>GRAY</t>
  </si>
  <si>
    <t>Sources &amp; raw inputs</t>
  </si>
  <si>
    <t>What happened? Original source material and exact imported data.</t>
  </si>
  <si>
    <t>GREEN</t>
  </si>
  <si>
    <t>Evidence workspace</t>
  </si>
  <si>
    <t>What do we know? Qualified facts, evidence intake, and lineage.</t>
  </si>
  <si>
    <t>PURPLE</t>
  </si>
  <si>
    <t>Signals &amp; research judgment</t>
  </si>
  <si>
    <t>What does it mean? Signals, interpretations, hypotheses, KPI links, and research queue.</t>
  </si>
  <si>
    <t>BLUE</t>
  </si>
  <si>
    <t>Rules &amp; methodology</t>
  </si>
  <si>
    <t>How do we stay consistent? Human-maintained interpretation and language controls.</t>
  </si>
  <si>
    <t>ORANGE</t>
  </si>
  <si>
    <t>Outputs</t>
  </si>
  <si>
    <t>What do we tell people? Briefs and drafts assembled from reviewed research.</t>
  </si>
  <si>
    <t>Researcher promise</t>
  </si>
  <si>
    <t>Researchers author the evidence, interpretation, hypothesis, caveat, and recommendation. The workbook makes those objects machine-readable and reusable across briefs, Sunday Signals, company pages, and emails. Automation organizes and assembles the work; it does not approve the research or replace analyst judgment.</t>
  </si>
  <si>
    <t>Current CrowdStrike snapshot</t>
  </si>
  <si>
    <t>Current TSIS period</t>
  </si>
  <si>
    <t>October 2026</t>
  </si>
  <si>
    <t>Net Score</t>
  </si>
  <si>
    <t>38.05 | API snapshot current; prior 37.14 preserved in Evidence Library</t>
  </si>
  <si>
    <t>Pervasion</t>
  </si>
  <si>
    <t>41.22 | API snapshot current; prior 40.90 preserved in Evidence Library</t>
  </si>
  <si>
    <t>Z-Score</t>
  </si>
  <si>
    <t>Q/Q 0.129 | Y/Y 0.892 | strength bands Source Needed</t>
  </si>
  <si>
    <t>Primary signal</t>
  </si>
  <si>
    <t>V5 integrates corrected TSIS history, Charlotte AI AI Product Series evidence, lineage, KPI bridge updates, and coverage results.</t>
  </si>
  <si>
    <t>Review status</t>
  </si>
  <si>
    <t>Human Review Required</t>
  </si>
  <si>
    <t>CAPTURE NEW EVIDENCE</t>
  </si>
  <si>
    <t>Use the form-like intake experience for interviews, 13F filings, sales calls, surveys, earnings, articles, and other observations.</t>
  </si>
  <si>
    <t>RESEARCH LINEAGE</t>
  </si>
  <si>
    <t>Lineage is created after a signal candidate exists: select evidence in Signal Builder, then record one reviewed Evidence → Signal relationship per row.</t>
  </si>
  <si>
    <t>ETR Research Workflow Guide — V4.0</t>
  </si>
  <si>
    <t>The human workflow is evidence first, signal second, lineage third. Lineage records how approved evidence supports, contradicts, or contextualizes a signal after the signal candidate exists.</t>
  </si>
  <si>
    <t>THE RESEARCHER FLOW — CLICK ANY STAGE</t>
  </si>
  <si>
    <t>1. SOURCE
What happened?</t>
  </si>
  <si>
    <t>2. CAPTURE
What did I learn?</t>
  </si>
  <si>
    <t>3. QUALIFY
What do we know?</t>
  </si>
  <si>
    <t>4. SIGNAL
What might it mean?</t>
  </si>
  <si>
    <t>5. LINEAGE
Which evidence supports it?</t>
  </si>
  <si>
    <t>6. KPI
Why might it matter?</t>
  </si>
  <si>
    <t>7. OUTPUT
What do we communicate?</t>
  </si>
  <si>
    <t>THE KEY DISTINCTION</t>
  </si>
  <si>
    <t>An approved EV-ID does not need a signal relationship immediately. First, the analyst reviews evidence and looks for a pattern. Once a signal candidate is drafted, the analyst attaches supporting and counter-evidence in Signal Builder. Research Lineage then stores those links as normalized Evidence → Signal records.</t>
  </si>
  <si>
    <t>WHO FILLS WHAT — IN ORDER</t>
  </si>
  <si>
    <t>Stage</t>
  </si>
  <si>
    <t>Primary tab</t>
  </si>
  <si>
    <t>Analyst action</t>
  </si>
  <si>
    <t>Required output</t>
  </si>
  <si>
    <t>Next gate</t>
  </si>
  <si>
    <t>Capture</t>
  </si>
  <si>
    <t>Evidence Intake Form / Add Evidence</t>
  </si>
  <si>
    <t>Record one source-backed observation with period, quote/data, N/base, caveat, confidence, owner, and next action.</t>
  </si>
  <si>
    <t>Intake record</t>
  </si>
  <si>
    <t>Reviewer verifies source and classification.</t>
  </si>
  <si>
    <t>Qualify</t>
  </si>
  <si>
    <t>Evidence Library</t>
  </si>
  <si>
    <t>Approve the object and assign/preserve its EV-ID. No signal link is required yet.</t>
  </si>
  <si>
    <t>Qualified evidence object</t>
  </si>
  <si>
    <t>Analyst looks for a pattern across evidence.</t>
  </si>
  <si>
    <t>Interpret</t>
  </si>
  <si>
    <t>Signal Builder</t>
  </si>
  <si>
    <t>Draft a signal, separate fact from interpretation, and select supporting and counter-evidence IDs.</t>
  </si>
  <si>
    <t>Signal candidate</t>
  </si>
  <si>
    <t>Lead researcher reviews wording and evidence sufficiency.</t>
  </si>
  <si>
    <t>Normalize lineage</t>
  </si>
  <si>
    <t>Research Lineage</t>
  </si>
  <si>
    <t>Create one Evidence ID → Signal ID edge per relationship and choose Supporting, Contradicting, or Contextualizing.</t>
  </si>
  <si>
    <t>Reviewed lineage edges</t>
  </si>
  <si>
    <t>Signal can proceed to KPI testing and outputs.</t>
  </si>
  <si>
    <t>Test relevance</t>
  </si>
  <si>
    <t>KPI Bridge</t>
  </si>
  <si>
    <t>Record mechanism, lag, confounders, source needed, confidence, and decision.</t>
  </si>
  <si>
    <t>Hypothesis / validated bridge</t>
  </si>
  <si>
    <t>Backtest or keep marked Hypothesis.</t>
  </si>
  <si>
    <t>Resolve gaps</t>
  </si>
  <si>
    <t>Research Queue</t>
  </si>
  <si>
    <t>Track missing evidence, risks, and blockers.</t>
  </si>
  <si>
    <t>Owned next actions</t>
  </si>
  <si>
    <t>Close, revise, or keep open.</t>
  </si>
  <si>
    <t>Communicate</t>
  </si>
  <si>
    <t>Executive Brief / Sunday Signal / Update Email</t>
  </si>
  <si>
    <t>Assemble reviewed research objects into an output without changing the underlying evidence.</t>
  </si>
  <si>
    <t>Human-reviewed output</t>
  </si>
  <si>
    <t>Feedback may create new evidence or questions.</t>
  </si>
  <si>
    <t>INTERVIEW → SUNDAY SIGNAL</t>
  </si>
  <si>
    <t>Customer says Flex simplified budgeting.</t>
  </si>
  <si>
    <t>EV-INT-001 is approved in Evidence Library.</t>
  </si>
  <si>
    <t>Signal</t>
  </si>
  <si>
    <t>SIG-FLEX-01: Flex may reduce purchasing friction.</t>
  </si>
  <si>
    <t>Lineage</t>
  </si>
  <si>
    <t>EV-INT-001 → SIG-FLEX-01 | Supporting</t>
  </si>
  <si>
    <t>Output</t>
  </si>
  <si>
    <t>Sunday Signal uses the reviewed interpretation and notes the single-customer caveat.</t>
  </si>
  <si>
    <t>13F FILING → EXECUTIVE BRIEF</t>
  </si>
  <si>
    <t>Named filer increased the disclosed CRWD position.</t>
  </si>
  <si>
    <t>EV-13F-001 is approved in Evidence Library.</t>
  </si>
  <si>
    <t>SIG-OWN-01: Select institutional ownership increased.</t>
  </si>
  <si>
    <t>EV-13F-001 → SIG-OWN-01 | Contextualizing</t>
  </si>
  <si>
    <t>Executive Brief names the filer and period but does not infer motive or broad conviction.</t>
  </si>
  <si>
    <t>SALES CALL → UPDATE EMAIL</t>
  </si>
  <si>
    <t>Sales reports three Flex accounts expanded after migration.</t>
  </si>
  <si>
    <t>EV-SALES-001 is approved in Evidence Library.</t>
  </si>
  <si>
    <t>SIG-EXP-01: Flex may be associated with account expansion.</t>
  </si>
  <si>
    <t>EV-SALES-001 → SIG-EXP-01 | Supporting</t>
  </si>
  <si>
    <t>Update Email describes the observation as directional and calls for a larger sample.</t>
  </si>
  <si>
    <t>New Evidence Intake</t>
  </si>
  <si>
    <t>Capture one observation at a time. Dropdowns keep the record machine-readable; narrative fields preserve the analyst’s context and judgment.</t>
  </si>
  <si>
    <t>1. CHOOSE A TEMPLATE  →  2. COMPLETE THE FIELDS  →  3. REVIEW THE GENERATED RECORD  →  4. COPY VALUES TO THE FIRST BLANK ADD EVIDENCE ROW</t>
  </si>
  <si>
    <t>Capture template</t>
  </si>
  <si>
    <t>Blank</t>
  </si>
  <si>
    <t>Template choice is guidance only; the analyst must still enter and review the actual evidence.</t>
  </si>
  <si>
    <t>Evidence class</t>
  </si>
  <si>
    <t>Classify the claim—not the source.</t>
  </si>
  <si>
    <t>Source type</t>
  </si>
  <si>
    <t>Choose the origin of the observation.</t>
  </si>
  <si>
    <t>Company</t>
  </si>
  <si>
    <t>CrowdStrike</t>
  </si>
  <si>
    <t>Use the conformed company name.</t>
  </si>
  <si>
    <t>Theme</t>
  </si>
  <si>
    <t>Choose the closest research theme.</t>
  </si>
  <si>
    <t>Date added</t>
  </si>
  <si>
    <t>Enter the capture date.</t>
  </si>
  <si>
    <t>Period</t>
  </si>
  <si>
    <t>Use the source reporting or observation period.</t>
  </si>
  <si>
    <t>Source name</t>
  </si>
  <si>
    <t>Name the transcript, filing, call, report, or export.</t>
  </si>
  <si>
    <t>Source location</t>
  </si>
  <si>
    <t>Link, file path, meeting, or repository location.</t>
  </si>
  <si>
    <t>Metric</t>
  </si>
  <si>
    <t>If applicable; otherwise leave blank.</t>
  </si>
  <si>
    <t>Value</t>
  </si>
  <si>
    <t>Use the exact disclosed or observed value.</t>
  </si>
  <si>
    <t>Trend</t>
  </si>
  <si>
    <t>If supported: increase, decrease, stable, mixed, or not specified.</t>
  </si>
  <si>
    <t>N / Base</t>
  </si>
  <si>
    <t>Sample/base; write Source Needed when absent.</t>
  </si>
  <si>
    <t>Confidence</t>
  </si>
  <si>
    <t>Confidence in this evidence record.</t>
  </si>
  <si>
    <t>Status</t>
  </si>
  <si>
    <t>New</t>
  </si>
  <si>
    <t>New is the default review state.</t>
  </si>
  <si>
    <t>Owner</t>
  </si>
  <si>
    <t>Researcher responsible for review and maintenance.</t>
  </si>
  <si>
    <t>Final Evidence ID</t>
  </si>
  <si>
    <t>Assigned only after approval; otherwise blank.</t>
  </si>
  <si>
    <t>Evidence statement</t>
  </si>
  <si>
    <t>Write a neutral, analyst-readable observation. Preserve exact wording where material.</t>
  </si>
  <si>
    <t>Supporting data / quote</t>
  </si>
  <si>
    <t>Paste the exact supported excerpt or describe the data point. Do not add conclusions.</t>
  </si>
  <si>
    <t>Why it matters</t>
  </si>
  <si>
    <t>Explain the potential research relevance. This may be interpretation, so keep the distinction visible.</t>
  </si>
  <si>
    <t>Caveat / what it does not prove</t>
  </si>
  <si>
    <t>Mandatory: sample limits, source bias, missing context, non-causality, or other constraints.</t>
  </si>
  <si>
    <t>Next action</t>
  </si>
  <si>
    <t>What should happen next: source verification, review, linkage, more interviews, or analysis.</t>
  </si>
  <si>
    <t>Recommended destination</t>
  </si>
  <si>
    <t>Routing is guidance. A reviewer determines promotion and linkage.</t>
  </si>
  <si>
    <t>MACRO-FREE WORKFLOW: This form is a guided staging surface. Review the generated record below, then copy the values into the first blank row of Add Evidence. This avoids hidden automation and preserves an auditable intake queue.</t>
  </si>
  <si>
    <t>GENERATED INTAKE RECORD — COPY AS VALUES INTO ADD EVIDENCE</t>
  </si>
  <si>
    <t>Date Added</t>
  </si>
  <si>
    <t>Source Type</t>
  </si>
  <si>
    <t>Evidence Class</t>
  </si>
  <si>
    <t>Evidence Statement</t>
  </si>
  <si>
    <t>Supporting Data / Quote</t>
  </si>
  <si>
    <t>Source Name</t>
  </si>
  <si>
    <t>Source Location</t>
  </si>
  <si>
    <t>Why It Matters</t>
  </si>
  <si>
    <t>Caveat / What It Does Not Prove</t>
  </si>
  <si>
    <t>Next Action</t>
  </si>
  <si>
    <t>Where Does This Go?</t>
  </si>
  <si>
    <t>Add Evidence</t>
  </si>
  <si>
    <t>This is the analyst intake surface. Enter new evidence directly into the first blank row of the intake queue. After review, approved rows are promoted into Evidence Library.</t>
  </si>
  <si>
    <t>How to use this tab</t>
  </si>
  <si>
    <t>Open Intake Form</t>
  </si>
  <si>
    <t>1) Add one observation per row.  2) Put the analyst-readable Evidence Statement first.  3) Classify the claim.  4) Preserve source, period, N/base, and caveat.  5) A reviewer approves, revises, rejects, or requests a source.  This sheet is the destination for new evidence; nothing disappears into an invisible workflow.</t>
  </si>
  <si>
    <t>Intake ID</t>
  </si>
  <si>
    <t>EXAMPLE-FACT</t>
  </si>
  <si>
    <t>Interview</t>
  </si>
  <si>
    <t>Open question</t>
  </si>
  <si>
    <t>Platform</t>
  </si>
  <si>
    <t>Customer stated that Falcon Flex simplified budgeting and made it easier to add modules.</t>
  </si>
  <si>
    <t>Illustrative training example — replace with the exact supported quote and source.</t>
  </si>
  <si>
    <t>May support research on purchasing friction and platform consolidation.</t>
  </si>
  <si>
    <t>Single customer; does not establish representative behavior, ARR impact, or causation.</t>
  </si>
  <si>
    <t>Medium</t>
  </si>
  <si>
    <t>Verify transcript and source context.</t>
  </si>
  <si>
    <t>EXAMPLE-INTERP</t>
  </si>
  <si>
    <t>13F Filing</t>
  </si>
  <si>
    <t>Client-provided fact</t>
  </si>
  <si>
    <t>Investor Ownership</t>
  </si>
  <si>
    <t>A named institution disclosed an increase in its CRWD position between two filing periods.</t>
  </si>
  <si>
    <t>Illustrative training example — populate exact shares/value, filer, and periods from the filing.</t>
  </si>
  <si>
    <t>May support analysis of select institutional ownership changes.</t>
  </si>
  <si>
    <t>Does not establish investment motive or broad institutional conviction.</t>
  </si>
  <si>
    <t>Verify filing and compare with broader ownership changes.</t>
  </si>
  <si>
    <t>EXAMPLE-HYP</t>
  </si>
  <si>
    <t>Sales Call</t>
  </si>
  <si>
    <t>Expansion</t>
  </si>
  <si>
    <t>Sales reported that three identified Flex accounts expanded after migration.</t>
  </si>
  <si>
    <t>Illustrative training example — replace with exact call notes and account context.</t>
  </si>
  <si>
    <t>May support an expansion hypothesis for Flex accounts.</t>
  </si>
  <si>
    <t>Small, sales-reported sample; does not prove Net New ARR impact or representative behavior.</t>
  </si>
  <si>
    <t>Low</t>
  </si>
  <si>
    <t>Needs Validation</t>
  </si>
  <si>
    <t>Validate account details and seek a larger sample.</t>
  </si>
  <si>
    <t>Sources &amp; Raw Inputs</t>
  </si>
  <si>
    <t>Source register plus a compact raw-data catalog. Exact raw records remain preserved in hidden system sheets so researchers are not forced to navigate eight raw tabs.</t>
  </si>
  <si>
    <t>Source ID</t>
  </si>
  <si>
    <t>Publisher / Lane</t>
  </si>
  <si>
    <t>Location</t>
  </si>
  <si>
    <t>Date / Period</t>
  </si>
  <si>
    <t>Evidence IDs</t>
  </si>
  <si>
    <t>Dataset Type</t>
  </si>
  <si>
    <t>Access / Status</t>
  </si>
  <si>
    <t>Review Note</t>
  </si>
  <si>
    <t>SRC-001</t>
  </si>
  <si>
    <t>Breaking Analysis #291 — From Product to Platform</t>
  </si>
  <si>
    <t>Analyst article</t>
  </si>
  <si>
    <t>theCUBE Research / SiliconANGLE</t>
  </si>
  <si>
    <t>siliconangle.com/2025/09/13/product-platform-crowdstrike-navigates-durable-growth/</t>
  </si>
  <si>
    <t>Sep 2025</t>
  </si>
  <si>
    <t>NS-001; NS-002; NS-005; NS-007; PV-002; CE-002; OA-003</t>
  </si>
  <si>
    <t>ETR TSIS data + analysis</t>
  </si>
  <si>
    <t>Public</t>
  </si>
  <si>
    <t>SRC-002</t>
  </si>
  <si>
    <t>ETR CrowdStrike vs SentinelOne JAN23</t>
  </si>
  <si>
    <t>Research article</t>
  </si>
  <si>
    <t>ETR Research</t>
  </si>
  <si>
    <t>app.etr.ai/articles/crowd-vs-sentinelone-jan23-data</t>
  </si>
  <si>
    <t>Mar 2023</t>
  </si>
  <si>
    <t>NS-003; PV-001; SI-001; SA-001; CP-007; CP-008</t>
  </si>
  <si>
    <t>TSIS</t>
  </si>
  <si>
    <t>Public (partial)</t>
  </si>
  <si>
    <t>SRC-003</t>
  </si>
  <si>
    <t>Breaking Analysis — Survey Says</t>
  </si>
  <si>
    <t>theCUBE Research</t>
  </si>
  <si>
    <t>thecuberesearch.com/breaking-analysis-survey-says-takeaways-from-the-latest-cio-spending-data/</t>
  </si>
  <si>
    <t>Mar 2024</t>
  </si>
  <si>
    <t>NS-004; PV-003</t>
  </si>
  <si>
    <t>SRC-004</t>
  </si>
  <si>
    <t>ETR Observatory for Endpoint Protection Platforms</t>
  </si>
  <si>
    <t>Research report</t>
  </si>
  <si>
    <t>app.etr.ai/articles/etr-observatory-endpoint-protection</t>
  </si>
  <si>
    <t>Dec 2023</t>
  </si>
  <si>
    <t>NS-006; PP-006; CP-006; CP-009</t>
  </si>
  <si>
    <t>ETR Observatory</t>
  </si>
  <si>
    <t>Public (summary)</t>
  </si>
  <si>
    <t>SRC-005</t>
  </si>
  <si>
    <t>ETR Flash Survey — CrowdStrike Outage</t>
  </si>
  <si>
    <t>Flash survey</t>
  </si>
  <si>
    <t>app.etr.ai/articles/crowdstrike-flash-survey1-july-2024</t>
  </si>
  <si>
    <t>Aug 2024</t>
  </si>
  <si>
    <t>CE-001; EC-003</t>
  </si>
  <si>
    <t>Flash Survey</t>
  </si>
  <si>
    <t>SRC-006</t>
  </si>
  <si>
    <t>Breaking Analysis — Cloud Security Powers CrowdStrike</t>
  </si>
  <si>
    <t>thecuberesearch.com/breaking-analysis-cloud-security-powers-crowdstrike-momentum-gen-ai-is-next/</t>
  </si>
  <si>
    <t>EC-001; EC-002</t>
  </si>
  <si>
    <t>ETR TSIS G2000 cohort + analysis</t>
  </si>
  <si>
    <t>SRC-007</t>
  </si>
  <si>
    <t>Programs.com — Largest Cybersecurity Companies 2026</t>
  </si>
  <si>
    <t>Market overview</t>
  </si>
  <si>
    <t>Programs.com</t>
  </si>
  <si>
    <t>programs.com/resources/largest-cybersecurity-companies/</t>
  </si>
  <si>
    <t>May 2026</t>
  </si>
  <si>
    <t>EC-004</t>
  </si>
  <si>
    <t>Company data</t>
  </si>
  <si>
    <t>SRC-008</t>
  </si>
  <si>
    <t>CrowdStrike IR — Fortune 100 Best Companies</t>
  </si>
  <si>
    <t>Press release</t>
  </si>
  <si>
    <t>CrowdStrike IR</t>
  </si>
  <si>
    <t>ir.crowdstrike.com/news-releases/news-release-details/crowdstrike-named-fortunes-100-best-companies-list-third/</t>
  </si>
  <si>
    <t>Apr 2023</t>
  </si>
  <si>
    <t>EC-005</t>
  </si>
  <si>
    <t>Recognition</t>
  </si>
  <si>
    <t>SRC-009</t>
  </si>
  <si>
    <t>ETR 2025 Endpoint Observatory</t>
  </si>
  <si>
    <t>research.etr.ai/blog-observatory/smarter-endpoint-platforms-fight-for-better-trust-and-resilience</t>
  </si>
  <si>
    <t>Nov 2025</t>
  </si>
  <si>
    <t>EC-006</t>
  </si>
  <si>
    <t>SRC-010</t>
  </si>
  <si>
    <t>Breaking Analysis #222 — CrowdStrike Separating from Pack</t>
  </si>
  <si>
    <t>thecuberesearch.com/breaking-analysis-why-crowdstrike-is-separating-from-the-cybersecurity-pack/</t>
  </si>
  <si>
    <t>CP-001</t>
  </si>
  <si>
    <t>Market analysis</t>
  </si>
  <si>
    <t>SRC-011</t>
  </si>
  <si>
    <t>Pestel Analysis — CrowdStrike Competitors</t>
  </si>
  <si>
    <t>Market research</t>
  </si>
  <si>
    <t>Pestel-analysis.com</t>
  </si>
  <si>
    <t>pestel-analysis.com/blogs/competitors/crowdstrike</t>
  </si>
  <si>
    <t>Jul 2026</t>
  </si>
  <si>
    <t>CP-002</t>
  </si>
  <si>
    <t>Competitive analysis</t>
  </si>
  <si>
    <t>SRC-012</t>
  </si>
  <si>
    <t>RSAC Security Markets in Transition</t>
  </si>
  <si>
    <t>SiliconANGLE / ETR</t>
  </si>
  <si>
    <t>siliconangle.com/2025/04/26/rsac-highlights-security-markets-transition/</t>
  </si>
  <si>
    <t>Apr 2025</t>
  </si>
  <si>
    <t>CP-003; CP-011</t>
  </si>
  <si>
    <t>ETR TSIS + RSAC analysis</t>
  </si>
  <si>
    <t>SRC-013</t>
  </si>
  <si>
    <t>Breaking Analysis #263 — Tech Predictions 2025</t>
  </si>
  <si>
    <t>thecuberesearch.com/263-breaking-analysis-enterprise-technology-predictions-2025/</t>
  </si>
  <si>
    <t>Feb 2025</t>
  </si>
  <si>
    <t>CP-004; CE-003</t>
  </si>
  <si>
    <t>ETR TSIS + analysis</t>
  </si>
  <si>
    <t>SRC-014</t>
  </si>
  <si>
    <t>ETR 2025 Enterprise Tech Trends</t>
  </si>
  <si>
    <t>research.etr.ai/etr-data-drop/2025-enterprise-tech-trends</t>
  </si>
  <si>
    <t>CP-005; PP-008; CE-004</t>
  </si>
  <si>
    <t>ETR TSIS + Insights panels</t>
  </si>
  <si>
    <t>SRC-015</t>
  </si>
  <si>
    <t>ETR APR24 TSIS Earnings Retrospective</t>
  </si>
  <si>
    <t>app.etr.ai/articles/april-2024-tsis-earnings-retrospective</t>
  </si>
  <si>
    <t>Jun 2024</t>
  </si>
  <si>
    <t>CP-010; OA-001</t>
  </si>
  <si>
    <t>TSIS Viewpoint List</t>
  </si>
  <si>
    <t>SRC-016</t>
  </si>
  <si>
    <t>ETR Deloitte Fast 500</t>
  </si>
  <si>
    <t>app.etr.ai/articles/deloitte-fast-500</t>
  </si>
  <si>
    <t>Dec 2022</t>
  </si>
  <si>
    <t>CP-012</t>
  </si>
  <si>
    <t>ETS + TSIS cross-reference</t>
  </si>
  <si>
    <t>SRC-017</t>
  </si>
  <si>
    <t>CRWD Q2 FY2027 Earnings Release</t>
  </si>
  <si>
    <t>Earnings release</t>
  </si>
  <si>
    <t>ir.crowdstrike.com/news-releases/news-release-details/crowdstrike-reports-second-quarter-fiscal-year-2027-financial</t>
  </si>
  <si>
    <t>Aug 2026</t>
  </si>
  <si>
    <t>PP-001; PP-003; KPI-001; KPI-002; KPI-003</t>
  </si>
  <si>
    <t>Financial filings</t>
  </si>
  <si>
    <t>SRC-018</t>
  </si>
  <si>
    <t>Multiple CRWD Earnings Releases (FY2026)</t>
  </si>
  <si>
    <t>Earnings releases</t>
  </si>
  <si>
    <t>ir.crowdstrike.com</t>
  </si>
  <si>
    <t>FY2026</t>
  </si>
  <si>
    <t>PP-002; SI-005; KPI-005; KPI-007</t>
  </si>
  <si>
    <t>SRC-019</t>
  </si>
  <si>
    <t>CRWD Q3 FY2026 Earnings Release</t>
  </si>
  <si>
    <t>ir.crowdstrike.com/news-releases/news-release-details/crowdstrike-reports-third-quarter-fiscal-year-2026-financial</t>
  </si>
  <si>
    <t>Dec 2025</t>
  </si>
  <si>
    <t>PP-004</t>
  </si>
  <si>
    <t>SRC-020</t>
  </si>
  <si>
    <t>FourWeekMBA — CrowdStrike Revenue Breakdown</t>
  </si>
  <si>
    <t>Analysis</t>
  </si>
  <si>
    <t>FourWeekMBA</t>
  </si>
  <si>
    <t>fourweekmba.com/crowdstrike-revenue-breakdown/</t>
  </si>
  <si>
    <t>Jun 2026</t>
  </si>
  <si>
    <t>PP-005</t>
  </si>
  <si>
    <t>Financial analysis</t>
  </si>
  <si>
    <t>SRC-021</t>
  </si>
  <si>
    <t>Investing.com — CRWD Q2 FY2027 Presentation Summary</t>
  </si>
  <si>
    <t>Earnings summary</t>
  </si>
  <si>
    <t>Investing.com</t>
  </si>
  <si>
    <t>investing.com</t>
  </si>
  <si>
    <t>PP-007; PP-009; PP-011; PP-014</t>
  </si>
  <si>
    <t>SRC-022</t>
  </si>
  <si>
    <t>CRWD Q1 FY2026 Earnings Release</t>
  </si>
  <si>
    <t>ir.crowdstrike.com/news-releases/news-release-details/crowdstrike-reports-first-quarter-fiscal-year-2026-financial/</t>
  </si>
  <si>
    <t>Jun 2025</t>
  </si>
  <si>
    <t>PP-010</t>
  </si>
  <si>
    <t>SRC-023</t>
  </si>
  <si>
    <t>Toarn — CrowdStrike Competitive Analysis Q1 2026</t>
  </si>
  <si>
    <t>Toarn</t>
  </si>
  <si>
    <t>toarn.com/insights/crowdstrike</t>
  </si>
  <si>
    <t>2026</t>
  </si>
  <si>
    <t>PP-012; PP-015</t>
  </si>
  <si>
    <t>SRC-024</t>
  </si>
  <si>
    <t>ETR Insights #415 — Global Security</t>
  </si>
  <si>
    <t>ETR Insights</t>
  </si>
  <si>
    <t>app.etr.ai/articles/etr-insights-415-global-security</t>
  </si>
  <si>
    <t>Nov 2024</t>
  </si>
  <si>
    <t>PP-013</t>
  </si>
  <si>
    <t>ETR Insights qualitative</t>
  </si>
  <si>
    <t>SRC-025</t>
  </si>
  <si>
    <t>Breaking Analysis #325 — Post-Mythos Surge</t>
  </si>
  <si>
    <t>thecuberesearch.com/325-breaking-analysis-crowdstrikes-post-mythos-surge-moat-momentum-and-the-blast-radius-test/</t>
  </si>
  <si>
    <t>PP-016; CE-008</t>
  </si>
  <si>
    <t>ETR + Qualitate data + analysis</t>
  </si>
  <si>
    <t>SRC-026</t>
  </si>
  <si>
    <t>ETR Cornucopia 2025</t>
  </si>
  <si>
    <t>app.etr.ai/articles/etr-cornucopia-2025</t>
  </si>
  <si>
    <t>OA-002</t>
  </si>
  <si>
    <t>TSIS + follow-up surveys</t>
  </si>
  <si>
    <t>SRC-027</t>
  </si>
  <si>
    <t>CRWD FY2025 Guidance 8-K</t>
  </si>
  <si>
    <t>SEC filing</t>
  </si>
  <si>
    <t>CrowdStrike IR / SEC</t>
  </si>
  <si>
    <t>sec.gov</t>
  </si>
  <si>
    <t>OA-005</t>
  </si>
  <si>
    <t>SRC-028</t>
  </si>
  <si>
    <t>Cybersecurity Dive — CrowdStrike Retains Customers</t>
  </si>
  <si>
    <t>News article</t>
  </si>
  <si>
    <t>Cybersecurity Dive</t>
  </si>
  <si>
    <t>cybersecuritydive.com/news/crowdstrike-retains-customers/734203/</t>
  </si>
  <si>
    <t>SI-004</t>
  </si>
  <si>
    <t>Earnings coverage</t>
  </si>
  <si>
    <t>SRC-029</t>
  </si>
  <si>
    <t>Motley Fool — CrowdStrike Shares Sink</t>
  </si>
  <si>
    <t>Motley Fool</t>
  </si>
  <si>
    <t>fool.com/investing/2025/03/07/crowdstrike-shares-sink-on-outlook-should-investor</t>
  </si>
  <si>
    <t>Mar 2025</t>
  </si>
  <si>
    <t>SI-003; CE-010</t>
  </si>
  <si>
    <t>SRC-030</t>
  </si>
  <si>
    <t>CrowdStrike FY2026 Earnings</t>
  </si>
  <si>
    <t>Mar 2026</t>
  </si>
  <si>
    <t>SI-002; KPI-001; KPI-002</t>
  </si>
  <si>
    <t>SRC-031</t>
  </si>
  <si>
    <t>Tech-Insider — CrowdStrike vs Defender vs SentinelOne 2026</t>
  </si>
  <si>
    <t>Competitive review</t>
  </si>
  <si>
    <t>Tech-Insider</t>
  </si>
  <si>
    <t>tech-insider.org/crowdstrike-vs-defender-vs-sentinelone-2026/</t>
  </si>
  <si>
    <t>CE-006</t>
  </si>
  <si>
    <t>SRC-032</t>
  </si>
  <si>
    <t>StockStory — CrowdStrike Research Report</t>
  </si>
  <si>
    <t>StockStory</t>
  </si>
  <si>
    <t>stockstory.org/us/stocks/nasdaq/crwd</t>
  </si>
  <si>
    <t>CE-007</t>
  </si>
  <si>
    <t>SRC-033</t>
  </si>
  <si>
    <t>Windows Forum — Falcon Flex Record NNA Analysis</t>
  </si>
  <si>
    <t>Windows Forum</t>
  </si>
  <si>
    <t>windowsforum.com</t>
  </si>
  <si>
    <t>CE-009</t>
  </si>
  <si>
    <t>SRC-OCT26-34</t>
  </si>
  <si>
    <t>Crowdstrike survey_z_score_20260910_201831.csv</t>
  </si>
  <si>
    <t>ETR platform CSV export</t>
  </si>
  <si>
    <t>ETR</t>
  </si>
  <si>
    <t>Export filename 2026-09-10</t>
  </si>
  <si>
    <t>ETR-OCT26-ZS</t>
  </si>
  <si>
    <t>Survey Z-Score</t>
  </si>
  <si>
    <t>User supplied</t>
  </si>
  <si>
    <t>SRC-OCT26-35</t>
  </si>
  <si>
    <t>single_vendor_aggregate_pervasion_chart_2026-09-10T20_29_23.484Z.csv</t>
  </si>
  <si>
    <t>ETR-OCT26-PV</t>
  </si>
  <si>
    <t>TSIS Pervasion trend</t>
  </si>
  <si>
    <t>SRC-OCT26-36</t>
  </si>
  <si>
    <t>respondent_subsample_region_2026-09-10T20_29_20.341Z.csv</t>
  </si>
  <si>
    <t>ETR-OCT26-REGION</t>
  </si>
  <si>
    <t>TSIS regional subsample</t>
  </si>
  <si>
    <t>SRC-OCT26-37</t>
  </si>
  <si>
    <t>subsample_candlestick_2026-09-10T20_29_17.391Z.csv</t>
  </si>
  <si>
    <t>ETR-OCT26-INTENT; ETR-OCT26-G2K; ETR-OCT26-F500; ETR-OCT26-LARGE</t>
  </si>
  <si>
    <t>TSIS subsample candlestick</t>
  </si>
  <si>
    <t>SRC-OCT26-38</t>
  </si>
  <si>
    <t>single_vendor_view_2026-09-10T20_29_14.440Z.csv</t>
  </si>
  <si>
    <t>ETR-OCT26-NS</t>
  </si>
  <si>
    <t>TSIS single-vendor view</t>
  </si>
  <si>
    <t>SRC-OCT26-39</t>
  </si>
  <si>
    <t>vendor_trends_trends_chart_2026-09-10T20_29_11.441Z.csv</t>
  </si>
  <si>
    <t>Peer-context raw file</t>
  </si>
  <si>
    <t>TSIS peer trends</t>
  </si>
  <si>
    <t>SRC-OCT26-40</t>
  </si>
  <si>
    <t>adoption_reasoning_2026-09-10T20_29_08.323Z.csv</t>
  </si>
  <si>
    <t>ETR-OCT26-ADOPT</t>
  </si>
  <si>
    <t>TSIS adoption reasoning</t>
  </si>
  <si>
    <t>SRC-OCT26-41</t>
  </si>
  <si>
    <t>respondent_composition_job_title_2026-09-10T20_28_56.798Z.csv</t>
  </si>
  <si>
    <t>ETR-OCT26-JOBS</t>
  </si>
  <si>
    <t>TSIS respondent composition</t>
  </si>
  <si>
    <t>Raw inputs preserved in hidden system sheets</t>
  </si>
  <si>
    <t>Raw Dataset</t>
  </si>
  <si>
    <t>Rows</t>
  </si>
  <si>
    <t>Treatment</t>
  </si>
  <si>
    <t>Raw - Z Score</t>
  </si>
  <si>
    <t>Exact imported rows</t>
  </si>
  <si>
    <t>Hidden system sheet in this workbook</t>
  </si>
  <si>
    <t>Raw - Pervasion Trend</t>
  </si>
  <si>
    <t>Raw - Region</t>
  </si>
  <si>
    <t>Raw - Subsample Cuts</t>
  </si>
  <si>
    <t>Raw - Vendor View</t>
  </si>
  <si>
    <t>Raw - Peer Trends</t>
  </si>
  <si>
    <t>Raw - Adoption Reasons</t>
  </si>
  <si>
    <t>Raw - Job Titles</t>
  </si>
  <si>
    <t>V5 Integrated Sources</t>
  </si>
  <si>
    <t>TSIS-API-2026-09-12</t>
  </si>
  <si>
    <t>CrowdStrike TSIS Company Metrics</t>
  </si>
  <si>
    <t>First-party API response</t>
  </si>
  <si>
    <t>ETR Browser/API Package</t>
  </si>
  <si>
    <t>https://new.etr.ai/analyze/company?name=CrowdStrike</t>
  </si>
  <si>
    <t>Jan 2024 – Oct 2026</t>
  </si>
  <si>
    <t>V5 Import</t>
  </si>
  <si>
    <t>Accessible</t>
  </si>
  <si>
    <t>All Respondents cut, 12 survey periods</t>
  </si>
  <si>
    <t>AIPS-REPORT-JUL26</t>
  </si>
  <si>
    <t>CrowdStrike Charlotte AI - July 2026</t>
  </si>
  <si>
    <t>Downloadable PDF</t>
  </si>
  <si>
    <t>https://new.etr.ai/</t>
  </si>
  <si>
    <t>AI Product Series</t>
  </si>
  <si>
    <t>N=178, survey 7/22-7/29/2026</t>
  </si>
  <si>
    <t>AIPS-WIDGET-USAGE</t>
  </si>
  <si>
    <t>Usage of AI Features</t>
  </si>
  <si>
    <t>https://new.etr.ai/analyzers/b249e960-262f-4201-886a-a93c38876af3?categories=3&amp;products=59</t>
  </si>
  <si>
    <t>Jul 2025, Jan 2026, Jul 2026</t>
  </si>
  <si>
    <t>21 rows</t>
  </si>
  <si>
    <t>AIPS-WIDGET-VALUE</t>
  </si>
  <si>
    <t>Feature Value Among Current Users</t>
  </si>
  <si>
    <t>15 rows</t>
  </si>
  <si>
    <t>AIPS-WIDGET-IMPACT</t>
  </si>
  <si>
    <t>Impact on Continual Usage Among Current Users</t>
  </si>
  <si>
    <t>AIPS-WIDGET-WTP</t>
  </si>
  <si>
    <t>Willingness to Pay Among Current Users</t>
  </si>
  <si>
    <t>18 rows</t>
  </si>
  <si>
    <t>AIPS-WIDGET-COST</t>
  </si>
  <si>
    <t>Consumption Portion of Cost</t>
  </si>
  <si>
    <t>5 rows, Jul 2026 only</t>
  </si>
  <si>
    <t>EDGE-CRWD-AUG26</t>
  </si>
  <si>
    <t>Edge Qualitative Commentary - CrowdStrike | August 2026</t>
  </si>
  <si>
    <t>ETR report</t>
  </si>
  <si>
    <t>Edge</t>
  </si>
  <si>
    <t>16 ITDMs, qualitative only</t>
  </si>
  <si>
    <t>TSIS-USER-SNAPSHOT</t>
  </si>
  <si>
    <t>User workbook screenshot</t>
  </si>
  <si>
    <t>User-provided screenshot</t>
  </si>
  <si>
    <t>nan</t>
  </si>
  <si>
    <t>Contains earlier Oct 2026 values: NS=37.14, DB=40.90</t>
  </si>
  <si>
    <t>Single system of record for qualified evidence. October 2026 current evidence is displayed first; July 2026 and earlier evidence remain Historical.</t>
  </si>
  <si>
    <t>Current / Historical</t>
  </si>
  <si>
    <t>Unified ID</t>
  </si>
  <si>
    <t>Source Lane</t>
  </si>
  <si>
    <t>Original ID</t>
  </si>
  <si>
    <t>Object Type</t>
  </si>
  <si>
    <t>Supporting Data / Description</t>
  </si>
  <si>
    <t>Source</t>
  </si>
  <si>
    <t>Dataset</t>
  </si>
  <si>
    <t>Status / Verification</t>
  </si>
  <si>
    <t>Importance</t>
  </si>
  <si>
    <t>Next Action / Notes</t>
  </si>
  <si>
    <t>Related Signals</t>
  </si>
  <si>
    <t>Related KPIs</t>
  </si>
  <si>
    <t>CURRENT — OCT26</t>
  </si>
  <si>
    <t>ETR / OCT26 current primary</t>
  </si>
  <si>
    <t>ETR evidence</t>
  </si>
  <si>
    <t>EV</t>
  </si>
  <si>
    <t>Adoption Drivers</t>
  </si>
  <si>
    <t>Top source-reported Oct 26 adoption reasons include Product Technical Capabilities 60.61, Product Security 54.55, and Feature Breadth 45.45.</t>
  </si>
  <si>
    <t>Oct 2026</t>
  </si>
  <si>
    <t>Adoption reasoning</t>
  </si>
  <si>
    <t>See statement</t>
  </si>
  <si>
    <t>Jul 26 comparison available in raw tab</t>
  </si>
  <si>
    <t>Reason-response N not supplied</t>
  </si>
  <si>
    <t>Verified</t>
  </si>
  <si>
    <t>High</t>
  </si>
  <si>
    <t>Percentages are reasons, not vendor-level spending outcomes.</t>
  </si>
  <si>
    <t>SIG-02</t>
  </si>
  <si>
    <t>ETR-OCT26-F500</t>
  </si>
  <si>
    <t>Enterprise Cohort</t>
  </si>
  <si>
    <t>Fortune 500 Net Score was 42.68 and Pervasion 61.83.</t>
  </si>
  <si>
    <t>F500 Net Score / Pervasion</t>
  </si>
  <si>
    <t>42.68 / 61.83</t>
  </si>
  <si>
    <t>Above overall Net Score and Pervasion</t>
  </si>
  <si>
    <t>Source file does not include cohort N</t>
  </si>
  <si>
    <t>Cohort N Source Needed.</t>
  </si>
  <si>
    <t>SIG-02; SIG-05; SIG-07</t>
  </si>
  <si>
    <t>ETR-OCT26-G2K</t>
  </si>
  <si>
    <t>Global 2000 Net Score was 42.61 and Pervasion 58.55.</t>
  </si>
  <si>
    <t>G2000 Net Score / Pervasion</t>
  </si>
  <si>
    <t>42.61 / 58.55</t>
  </si>
  <si>
    <t>Cohort N Source Needed; do not infer broad enterprise dominance.</t>
  </si>
  <si>
    <t>ETR-OCT26-INTENT</t>
  </si>
  <si>
    <t>Spending Composition</t>
  </si>
  <si>
    <t>Oct 2026 All Respondents: Adoption 8.10%, Increase 40.24%, Flat 40.48%, Decrease 6.43%, Replacing 4.76%.</t>
  </si>
  <si>
    <t>Spending intent components</t>
  </si>
  <si>
    <t>8.10/40.24/40.48/6.43/4.76</t>
  </si>
  <si>
    <t>Current cross-section</t>
  </si>
  <si>
    <t>Exact percentages from source; component sum may reflect precision/rounding.</t>
  </si>
  <si>
    <t>Respondent Composition</t>
  </si>
  <si>
    <t>Respondent composition: CxO 25.48%, VP/Head/Director/Manager/Principal 51.90%, Analyst/Architect/Engineer/Lead/Specialist 22.62%.</t>
  </si>
  <si>
    <t>Oct 2026 export context</t>
  </si>
  <si>
    <t>Job title composition</t>
  </si>
  <si>
    <t>Current export composition</t>
  </si>
  <si>
    <t>Composition context; not a signal by itself.</t>
  </si>
  <si>
    <t>ETR-OCT26-LARGE</t>
  </si>
  <si>
    <t>Large Organizations Net Score was 35.82 and Pervasion 49.45.</t>
  </si>
  <si>
    <t>Large Org Net Score / Pervasion</t>
  </si>
  <si>
    <t>35.82 / 49.45</t>
  </si>
  <si>
    <t>Net Score below overall; Pervasion above overall</t>
  </si>
  <si>
    <t>Shows enterprise evidence is selective, not uniform.</t>
  </si>
  <si>
    <t>Demand</t>
  </si>
  <si>
    <t>CrowdStrike Net Score was 37.14 in Oct 2026.</t>
  </si>
  <si>
    <t>+0.69 vs Jul 2026; +10.54 vs Oct 2025</t>
  </si>
  <si>
    <t>Primary current demand metric; not proof of company revenue.</t>
  </si>
  <si>
    <t>KPI-003; KPI-005; KPI-009</t>
  </si>
  <si>
    <t>Breadth</t>
  </si>
  <si>
    <t>CrowdStrike Pervasion was 40.90 in Oct 2026.</t>
  </si>
  <si>
    <t>+2.52 vs Jul 2026; +2.41 vs Oct 2025</t>
  </si>
  <si>
    <t>Breadth / presence, not revenue or market share.</t>
  </si>
  <si>
    <t>Geographic Dispersion</t>
  </si>
  <si>
    <t>APAC 54.29, North America 37.14, International 33.33, and EMEA 27.27 Net Score.</t>
  </si>
  <si>
    <t>Regional Net Score</t>
  </si>
  <si>
    <t>Geographically uneven current read</t>
  </si>
  <si>
    <t>Regional N not supplied</t>
  </si>
  <si>
    <t>Do not link regional survey cuts to regional revenue without mapping.</t>
  </si>
  <si>
    <t>Metric Value 37.14285714; Q/Q change 0.68664533; Y/Y change 10.53571429; Q/Q Z-Score 0.129243494; Y/Y Z-Score 0.892193894.</t>
  </si>
  <si>
    <t>Oct 2026 associated current export</t>
  </si>
  <si>
    <t>Q/Q 0.129243494; Y/Y 0.892193894</t>
  </si>
  <si>
    <t>Y/Y Z exceeds Q/Q Z; N=420</t>
  </si>
  <si>
    <t>Raw value available; approved strength/significance bands Source Needed.</t>
  </si>
  <si>
    <t>HISTORICAL — JUL26</t>
  </si>
  <si>
    <t>ETR-OA-004</t>
  </si>
  <si>
    <t>ETR / Claude package</t>
  </si>
  <si>
    <t>OA-004</t>
  </si>
  <si>
    <t>OQ</t>
  </si>
  <si>
    <t>Current Outlook</t>
  </si>
  <si>
    <t>Current ETR TSIS Data Outlook for CrowdStrike — What is the current ETR TSIS data outlook (Positive / Negative / No Outlook)?</t>
  </si>
  <si>
    <t>What is the current ETR TSIS data outlook (Positive / Negative / No Outlook)?</t>
  </si>
  <si>
    <t>—</t>
  </si>
  <si>
    <t>Data Outlook</t>
  </si>
  <si>
    <t>Source Needed</t>
  </si>
  <si>
    <t>Unknown</t>
  </si>
  <si>
    <t>Critical gap for ETR proof case</t>
  </si>
  <si>
    <t>ETR platform (subscriber-only)</t>
  </si>
  <si>
    <t>ETR-PP-001</t>
  </si>
  <si>
    <t>PP-001</t>
  </si>
  <si>
    <t>Module Adoption</t>
  </si>
  <si>
    <t>6+ Modules: 51% of Customers (Q2 FY2027) — 51% used 6+ modules; 35% used 7+; 26% used 8+ as of Jul 31 2026</t>
  </si>
  <si>
    <t>51% used 6+ modules; 35% used 7+; 26% used 8+ as of Jul 31 2026</t>
  </si>
  <si>
    <t>Earnings</t>
  </si>
  <si>
    <t>Q2 FY2027 (Jul 2026)</t>
  </si>
  <si>
    <t>Module adoption</t>
  </si>
  <si>
    <t>51% / 35% / 26%</t>
  </si>
  <si>
    <t>Increasing</t>
  </si>
  <si>
    <t>Full subscription base</t>
  </si>
  <si>
    <t>SIG-004</t>
  </si>
  <si>
    <t>KPI-ModuleAdoption</t>
  </si>
  <si>
    <t>ETR-PP-003</t>
  </si>
  <si>
    <t>PP-003</t>
  </si>
  <si>
    <t>Falcon Flex Model</t>
  </si>
  <si>
    <t>Falcon Flex ARR — $2.29B (Q2 FY2027) — Flex ending ARR exceeded $2.29B; growing 101% YoY; 935 new Flex accounts added in Q2; top 10 deals all Flexes</t>
  </si>
  <si>
    <t>Flex ending ARR exceeded $2.29B; growing 101% YoY; 935 new Flex accounts added in Q2; top 10 deals all Flexes</t>
  </si>
  <si>
    <t>Flex ARR</t>
  </si>
  <si>
    <t>$2.29B</t>
  </si>
  <si>
    <t>+101% YoY</t>
  </si>
  <si>
    <t>Flex customer base</t>
  </si>
  <si>
    <t>34% of total net new ARR from Flex</t>
  </si>
  <si>
    <t>SIG-009</t>
  </si>
  <si>
    <t>KPI-ARR; KPI-NRR</t>
  </si>
  <si>
    <t>ETR-PP-007</t>
  </si>
  <si>
    <t>PP-007</t>
  </si>
  <si>
    <t>Cloud ARR</t>
  </si>
  <si>
    <t>Cloud Security ARR — $905M+; 29% Growth (Q2 FY2027) — Cloud Security reached over $905M in ARR with 29% growth</t>
  </si>
  <si>
    <t>Cloud Security reached over $905M in ARR with 29% growth</t>
  </si>
  <si>
    <t>Earnings presentation</t>
  </si>
  <si>
    <t>&gt;$905M</t>
  </si>
  <si>
    <t>+29% YoY</t>
  </si>
  <si>
    <t>SIG-010</t>
  </si>
  <si>
    <t>KPI-ARR (Cloud)</t>
  </si>
  <si>
    <t>ETR-PP-009</t>
  </si>
  <si>
    <t>PP-009</t>
  </si>
  <si>
    <t>Identity ARR</t>
  </si>
  <si>
    <t>Next-Gen Identity ARR — $585M+; 33% Growth (Q2 FY2027) — Next-Gen Identity contributed over $585M in ARR; growing 33% year-over-year</t>
  </si>
  <si>
    <t>Next-Gen Identity contributed over $585M in ARR; growing 33% year-over-year</t>
  </si>
  <si>
    <t>&gt;$585M</t>
  </si>
  <si>
    <t>+33% YoY</t>
  </si>
  <si>
    <t>KPI-ARR (Identity)</t>
  </si>
  <si>
    <t>ETR-PP-011</t>
  </si>
  <si>
    <t>PP-011</t>
  </si>
  <si>
    <t>SIEM ARR</t>
  </si>
  <si>
    <t>LogScale Next-Gen SIEM ARR — $695M+; 60% Growth (Q2 FY2027) — LogScale Next-Gen SIEM demonstrated strongest expansion at over $695M with 60% growth</t>
  </si>
  <si>
    <t>LogScale Next-Gen SIEM demonstrated strongest expansion at over $695M with 60% growth</t>
  </si>
  <si>
    <t>&gt;$695M</t>
  </si>
  <si>
    <t>+60% YoY</t>
  </si>
  <si>
    <t>Fastest-growing module category</t>
  </si>
  <si>
    <t>KPI-ARR (SIEM)</t>
  </si>
  <si>
    <t>ETR-PP-014</t>
  </si>
  <si>
    <t>PP-014</t>
  </si>
  <si>
    <t>AIDR Growth</t>
  </si>
  <si>
    <t>AIDR Ending ARR Nearly Tripled QoQ (Q2 FY2027) — AI Detection and Response (AIDR) ending ARR nearly tripled quarter-over-quarter</t>
  </si>
  <si>
    <t>AI Detection and Response (AIDR) ending ARR nearly tripled quarter-over-quarter</t>
  </si>
  <si>
    <t>AIDR ARR growth</t>
  </si>
  <si>
    <t>~3x QoQ</t>
  </si>
  <si>
    <t>Explosive</t>
  </si>
  <si>
    <t>Mythos moment driving AI security demand</t>
  </si>
  <si>
    <t>SIG-011</t>
  </si>
  <si>
    <t>KPI-ARR (AIDR)</t>
  </si>
  <si>
    <t>ETR-PV-004</t>
  </si>
  <si>
    <t>PV-004</t>
  </si>
  <si>
    <t>Account Penetration</t>
  </si>
  <si>
    <t>Current Pervasion Level Post-Recovery — What is CrowdStrike current Pervasion rank in the most recent TSIS period (Apr/Jul 2026)?</t>
  </si>
  <si>
    <t>What is CrowdStrike current Pervasion rank in the most recent TSIS period (Apr/Jul 2026)?</t>
  </si>
  <si>
    <t>Apr/Jul 2026</t>
  </si>
  <si>
    <t>Critical gap: need most recent TSIS data</t>
  </si>
  <si>
    <t>SIG-003</t>
  </si>
  <si>
    <t>KPI-CustomerCount</t>
  </si>
  <si>
    <t>HISTORICAL / OTHER</t>
  </si>
  <si>
    <t>ETR-CP-001</t>
  </si>
  <si>
    <t>PANW Billings Shock</t>
  </si>
  <si>
    <t>Palo Alto $600M Billings Forecast Surprise (Feb 2024) — Palo Alto shocked the street with a $600M billings forecast surprise; cracks in consolidation execution</t>
  </si>
  <si>
    <t>Palo Alto shocked the street with a $600M billings forecast surprise; cracks in consolidation execution</t>
  </si>
  <si>
    <t>Feb 2024</t>
  </si>
  <si>
    <t>Billings surprise</t>
  </si>
  <si>
    <t>-$600M</t>
  </si>
  <si>
    <t>Negative for PANW</t>
  </si>
  <si>
    <t>Competitive advantage for CrowdStrike</t>
  </si>
  <si>
    <t>SIG-007</t>
  </si>
  <si>
    <t>ETR-CP-002</t>
  </si>
  <si>
    <t>PANW Positioning</t>
  </si>
  <si>
    <t>Palo Alto Wins on Platform Breadth — Competitive advantage in platform breadth (network + cloud + endpoint); pricing complexity and Cortex XDR to XSIAM transition creates confusion</t>
  </si>
  <si>
    <t>Competitive advantage in platform breadth (network + cloud + endpoint); pricing complexity and Cortex XDR to XSIAM transition creates confusion</t>
  </si>
  <si>
    <t>Competitive positioning</t>
  </si>
  <si>
    <t>Platform breadth advantage</t>
  </si>
  <si>
    <t>CrowdStrike competes on depth/speed vs PANW breadth</t>
  </si>
  <si>
    <t>ETR-CP-003</t>
  </si>
  <si>
    <t>ETR interpretation</t>
  </si>
  <si>
    <t>CP-003</t>
  </si>
  <si>
    <t>INTP</t>
  </si>
  <si>
    <t>Market Structure</t>
  </si>
  <si>
    <t>CrowdStrike Watchlist Name vs PANW — Growth deceleration and valuation angst have capped near-term upside for PANW; stock still outperforms Nasdaq</t>
  </si>
  <si>
    <t>Growth deceleration and valuation angst have capped near-term upside for PANW; stock still outperforms Nasdaq</t>
  </si>
  <si>
    <t>RSAC analysis</t>
  </si>
  <si>
    <t>Market assessment</t>
  </si>
  <si>
    <t>Watchlist name</t>
  </si>
  <si>
    <t>Decelerating</t>
  </si>
  <si>
    <t>ETR-CP-004</t>
  </si>
  <si>
    <t>CP-004</t>
  </si>
  <si>
    <t>Microsoft Competitive Threat</t>
  </si>
  <si>
    <t>Microsoft Defender Gaining Post-Outage — ETR survey data suggests Microsoft integrated security capabilities now considered viable and even preferable for many buyers</t>
  </si>
  <si>
    <t>ETR survey data suggests Microsoft integrated security capabilities now considered viable and even preferable for many buyers</t>
  </si>
  <si>
    <t>theCUBE Research / ETR</t>
  </si>
  <si>
    <t>TSIS survey + qualitative</t>
  </si>
  <si>
    <t>Jan 2025</t>
  </si>
  <si>
    <t>Competitive sentiment</t>
  </si>
  <si>
    <t>Microsoft gaining</t>
  </si>
  <si>
    <t>Increasing threat</t>
  </si>
  <si>
    <t>IT decision makers</t>
  </si>
  <si>
    <t>Good enough security is not good enough — Kurtz</t>
  </si>
  <si>
    <t>SIG-008</t>
  </si>
  <si>
    <t>KPI-MarketShare</t>
  </si>
  <si>
    <t>ETR-CP-005</t>
  </si>
  <si>
    <t>CP-005</t>
  </si>
  <si>
    <t>Microsoft E5 Bundle</t>
  </si>
  <si>
    <t>Microsoft E5 License Value Proposition — Microsoft is doing really well because we have moved to higher tier in licensing; the play for me makes sense — Education CISO</t>
  </si>
  <si>
    <t>Microsoft is doing really well because we have moved to higher tier in licensing; the play for me makes sense — Education CISO</t>
  </si>
  <si>
    <t>2025 Tech Trends panel</t>
  </si>
  <si>
    <t>Qualitative</t>
  </si>
  <si>
    <t>Positive MSFT sentiment</t>
  </si>
  <si>
    <t>Growing</t>
  </si>
  <si>
    <t>Interview panel</t>
  </si>
  <si>
    <t>Cost advantage for existing Microsoft shops</t>
  </si>
  <si>
    <t>ETR-CP-006</t>
  </si>
  <si>
    <t>CP-006</t>
  </si>
  <si>
    <t>Microsoft EPP Standing</t>
  </si>
  <si>
    <t>Microsoft Defender Top-3 EPP Net Score (&lt;50%) — Rounds out top three EPP vendors with Net Score slightly below 50%; lowest level of Negative spend</t>
  </si>
  <si>
    <t>Rounds out top three EPP vendors with Net Score slightly below 50%; lowest level of Negative spend</t>
  </si>
  <si>
    <t>EPP Observatory</t>
  </si>
  <si>
    <t>2023</t>
  </si>
  <si>
    <t>Net Score (EPP)</t>
  </si>
  <si>
    <t>&lt;50%</t>
  </si>
  <si>
    <t>Elevated</t>
  </si>
  <si>
    <t>EPP survey respondents</t>
  </si>
  <si>
    <t>Lowest negative spend = high stickiness</t>
  </si>
  <si>
    <t>ETR-CP-007</t>
  </si>
  <si>
    <t>CP-007</t>
  </si>
  <si>
    <t>SentinelOne Gap</t>
  </si>
  <si>
    <t>SentinelOne Net Score 38% vs CrowdStrike 58% (JAN23) — SentinelOne positioned 8th in InfoSec sector with 38% Net Score; 20pp gap vs CrowdStrike 58%</t>
  </si>
  <si>
    <t>SentinelOne positioned 8th in InfoSec sector with 38% Net Score; 20pp gap vs CrowdStrike 58%</t>
  </si>
  <si>
    <t>Jan 2023</t>
  </si>
  <si>
    <t>Net Score gap</t>
  </si>
  <si>
    <t>20pp advantage CRWD</t>
  </si>
  <si>
    <t>CRWD leading</t>
  </si>
  <si>
    <t>50+ citations each</t>
  </si>
  <si>
    <t>SIG-001</t>
  </si>
  <si>
    <t>ETR-CP-008</t>
  </si>
  <si>
    <t>CP-008</t>
  </si>
  <si>
    <t>SentinelOne Pervasion Gap</t>
  </si>
  <si>
    <t>SentinelOne Pervasion: 30th vs CrowdStrike 5th — Massive pervasion gap; SentinelOne customer count shows some signs of stagnation vs 2H22</t>
  </si>
  <si>
    <t>Massive pervasion gap; SentinelOne customer count shows some signs of stagnation vs 2H22</t>
  </si>
  <si>
    <t>Pervasion rank</t>
  </si>
  <si>
    <t>25-rank gap</t>
  </si>
  <si>
    <t>CRWD far ahead</t>
  </si>
  <si>
    <t>Full survey</t>
  </si>
  <si>
    <t>ETR-CP-009</t>
  </si>
  <si>
    <t>CP-009</t>
  </si>
  <si>
    <t>SentinelOne Advancing</t>
  </si>
  <si>
    <t>SentinelOne Advancing in EPP Observatory — Broke into Advancing category due to elevated Momentum (2nd highest) but failed to reach Leading due to lower Presence</t>
  </si>
  <si>
    <t>Broke into Advancing category due to elevated Momentum (2nd highest) but failed to reach Leading due to lower Presence</t>
  </si>
  <si>
    <t>Observatory category</t>
  </si>
  <si>
    <t>Advancing</t>
  </si>
  <si>
    <t>Improving</t>
  </si>
  <si>
    <t>EPP survey</t>
  </si>
  <si>
    <t>Highest Adoption % at 13%</t>
  </si>
  <si>
    <t>ETR-CP-010</t>
  </si>
  <si>
    <t>CP-010</t>
  </si>
  <si>
    <t>Zscaler Positive Outlook</t>
  </si>
  <si>
    <t>Zscaler Had ETR Positive Outlook in APR24 — 5th-best Net Score among cybersecurity vendors; 2nd-best among publicly traded pureplay InfoSec (behind CrowdStrike)</t>
  </si>
  <si>
    <t>5th-best Net Score among cybersecurity vendors; 2nd-best among publicly traded pureplay InfoSec (behind CrowdStrike)</t>
  </si>
  <si>
    <t>Apr 2024</t>
  </si>
  <si>
    <t>Positive</t>
  </si>
  <si>
    <t>Maintained</t>
  </si>
  <si>
    <t>Elevated churn possibly due to revamped GTM</t>
  </si>
  <si>
    <t>ETR-CP-011</t>
  </si>
  <si>
    <t>CP-011</t>
  </si>
  <si>
    <t>Zscaler RSAC Momentum</t>
  </si>
  <si>
    <t>Zscaler Near Top of 2025 RSAC Leaderboard — Near the top of 2025 leaderboard with sustained momentum through April</t>
  </si>
  <si>
    <t>Near the top of 2025 leaderboard with sustained momentum through April</t>
  </si>
  <si>
    <t>Momentum ranking</t>
  </si>
  <si>
    <t>Near top</t>
  </si>
  <si>
    <t>Strong</t>
  </si>
  <si>
    <t>ETR-CP-012</t>
  </si>
  <si>
    <t>Private Disruptor</t>
  </si>
  <si>
    <t>Arctic Wolf Best-Positioned Private Comp Within CrowdStrike Accounts — ETR Targets and Disruptors model: Arctic Wolf is best positioned private competitor within CrowdStrike accounts in IDR subsector</t>
  </si>
  <si>
    <t>ETR Targets and Disruptors model: Arctic Wolf is best positioned private competitor within CrowdStrike accounts in IDR subsector</t>
  </si>
  <si>
    <t>2022</t>
  </si>
  <si>
    <t>Targets &amp; Disruptors ranking</t>
  </si>
  <si>
    <t>#1 private comp</t>
  </si>
  <si>
    <t>ETS survey universe</t>
  </si>
  <si>
    <t>Four of top ten Plan to Evaluate vendors are security players</t>
  </si>
  <si>
    <t>ETR-EC-001</t>
  </si>
  <si>
    <t>EC-001</t>
  </si>
  <si>
    <t>G2000 Momentum</t>
  </si>
  <si>
    <t>CrowdStrike G2000 Net Score — 61% — Net Score jumps from 48% overall to 61% within Global 2000 accounts. Steady increase since Oct22 survey.</t>
  </si>
  <si>
    <t>Net Score jumps from 48% overall to 61% within Global 2000 accounts. Steady increase since Oct22 survey.</t>
  </si>
  <si>
    <t>TSIS — G2000 cohort</t>
  </si>
  <si>
    <t>Oct 2023</t>
  </si>
  <si>
    <t>Net Score (G2000)</t>
  </si>
  <si>
    <t>61%</t>
  </si>
  <si>
    <t>Increasing since Oct 2022</t>
  </si>
  <si>
    <t>109 G2000 customers</t>
  </si>
  <si>
    <t>Strong indication of consolidation/share gain with larger customers</t>
  </si>
  <si>
    <t>SIG-005</t>
  </si>
  <si>
    <t>KPI-LargeCustomerGrowth</t>
  </si>
  <si>
    <t>ETR-EC-002</t>
  </si>
  <si>
    <t>EC-002</t>
  </si>
  <si>
    <t>G2000 Penetration</t>
  </si>
  <si>
    <t>G2000 Pervasion Rising — Yellow Pervasion curve shows pronounced rise within G2000 dataset</t>
  </si>
  <si>
    <t>Yellow Pervasion curve shows pronounced rise within G2000 dataset</t>
  </si>
  <si>
    <t>Oct 2022–Oct 2023</t>
  </si>
  <si>
    <t>Pervasion (G2000)</t>
  </si>
  <si>
    <t>Rising</t>
  </si>
  <si>
    <t>430 G2000 security sector customers</t>
  </si>
  <si>
    <t>ETR-EC-003</t>
  </si>
  <si>
    <t>EC-003</t>
  </si>
  <si>
    <t>G2000 Representation</t>
  </si>
  <si>
    <t>25% of Flash Survey Respondents from G2000 — Nearly three-quarters (74%) from large organizations; 25% from Global 2000 firms</t>
  </si>
  <si>
    <t>Nearly three-quarters (74%) from large organizations; 25% from Global 2000 firms</t>
  </si>
  <si>
    <t>Jul 2024</t>
  </si>
  <si>
    <t>Sample composition</t>
  </si>
  <si>
    <t>25% G2000</t>
  </si>
  <si>
    <t>100 respondents</t>
  </si>
  <si>
    <t>ETR-EC-004</t>
  </si>
  <si>
    <t>Fortune Penetration</t>
  </si>
  <si>
    <t>&gt;50% of Fortune 1000 Customers — Serves over 29000 customers across 230 countries including more than 50% of the Fortune 1000</t>
  </si>
  <si>
    <t>Serves over 29000 customers across 230 countries including more than 50% of the Fortune 1000</t>
  </si>
  <si>
    <t>CrowdStrike company profile</t>
  </si>
  <si>
    <t>Fortune 1000 penetration</t>
  </si>
  <si>
    <t>&gt;50%</t>
  </si>
  <si>
    <t>29000+ customers</t>
  </si>
  <si>
    <t>ETR-EC-005</t>
  </si>
  <si>
    <t>Fortune Recognition</t>
  </si>
  <si>
    <t>Fortune 100 Best Companies to Work For — 3 Consecutive Years — Named to Fortune 100 Best Companies list for third consecutive year (2023)</t>
  </si>
  <si>
    <t>Named to Fortune 100 Best Companies list for third consecutive year (2023)</t>
  </si>
  <si>
    <t>Fortune / CrowdStrike IR</t>
  </si>
  <si>
    <t>Cultural indicator</t>
  </si>
  <si>
    <t>3 consecutive years</t>
  </si>
  <si>
    <t>Stable</t>
  </si>
  <si>
    <t>Employee surveys</t>
  </si>
  <si>
    <t>Talent retention signal</t>
  </si>
  <si>
    <t>ETR-EC-006</t>
  </si>
  <si>
    <t>EPP Observatory Sample</t>
  </si>
  <si>
    <t>16% Fortune 500; 21% Global 2000 in 2025 Endpoint Observatory — 303 IT decision makers; 55% with 1200+ employees; 16% Fortune 500; 21% Global 2000</t>
  </si>
  <si>
    <t>303 IT decision makers; 55% with 1200+ employees; 16% Fortune 500; 21% Global 2000</t>
  </si>
  <si>
    <t>2025 Endpoint Observatory</t>
  </si>
  <si>
    <t>2025</t>
  </si>
  <si>
    <t>16% F500; 21% G2000</t>
  </si>
  <si>
    <t>303 respondents</t>
  </si>
  <si>
    <t>Strong enterprise representation in dataset</t>
  </si>
  <si>
    <t>ETR-NS-001</t>
  </si>
  <si>
    <t>NS-001</t>
  </si>
  <si>
    <t>Spending Momentum</t>
  </si>
  <si>
    <t>CrowdStrike Net Score — Pre-Outage Peak — Net Score well over 50% prior to July 2024 outage; highest in entire InfoSec sector among vendors with 50+ citations</t>
  </si>
  <si>
    <t>Net Score well over 50% prior to July 2024 outage; highest in entire InfoSec sector among vendors with 50+ citations</t>
  </si>
  <si>
    <t>theCUBE Research / ETR TSIS</t>
  </si>
  <si>
    <t>Pre-Jul 2024</t>
  </si>
  <si>
    <t>~400 CRWD customers in survey</t>
  </si>
  <si>
    <t>Pre-outage high-water mark for spending momentum</t>
  </si>
  <si>
    <t>SIG-001; SIG-003</t>
  </si>
  <si>
    <t>ETR-NS-002</t>
  </si>
  <si>
    <t>NS-002</t>
  </si>
  <si>
    <t>CrowdStrike Net Score — Post-Outage Trough (~30%) — Net Score dropped to approximately 30% following the July 2024 outage; green compressed; red escalated</t>
  </si>
  <si>
    <t>Net Score dropped to approximately 30% following the July 2024 outage; green compressed; red escalated</t>
  </si>
  <si>
    <t>~30%</t>
  </si>
  <si>
    <t>Declining from peak; recovering from trough</t>
  </si>
  <si>
    <t>~400 CRWD customers</t>
  </si>
  <si>
    <t>40% = highly elevated threshold</t>
  </si>
  <si>
    <t>SIG-002; SIG-003</t>
  </si>
  <si>
    <t>KPI-NRR; KPI-Churn</t>
  </si>
  <si>
    <t>ETR-NS-003</t>
  </si>
  <si>
    <t>NS-003</t>
  </si>
  <si>
    <t>CrowdStrike Net Score — JAN23 Peak (58%) — Highest Net Score (58%) across entire Information Security sector among vendors with 50+ citations</t>
  </si>
  <si>
    <t>Highest Net Score (58%) across entire Information Security sector among vendors with 50+ citations</t>
  </si>
  <si>
    <t>58%</t>
  </si>
  <si>
    <t>50+ citations</t>
  </si>
  <si>
    <t>Historical high-water mark reference point</t>
  </si>
  <si>
    <t>KPI-ARR</t>
  </si>
  <si>
    <t>ETR-NS-004</t>
  </si>
  <si>
    <t>NS-004</t>
  </si>
  <si>
    <t>CrowdStrike Net Score — OCT23 at 50% — Net Score at 50% well above the 40% mark with more than 300 mentions</t>
  </si>
  <si>
    <t>Net Score at 50% well above the 40% mark with more than 300 mentions</t>
  </si>
  <si>
    <t>50%</t>
  </si>
  <si>
    <t>300+ mentions</t>
  </si>
  <si>
    <t>Second only to ServiceNow among 12 companies highlighted</t>
  </si>
  <si>
    <t>ETR-NS-005</t>
  </si>
  <si>
    <t>NS-005</t>
  </si>
  <si>
    <t>CrowdStrike Net Score Composition — Apr 2025 — New logos: 7%; Spending up 6%+: 36%; Flat: 43%; Spending down 6%+: 8%; Churning/isolating: 6%</t>
  </si>
  <si>
    <t>New logos: 7%; Spending up 6%+: 36%; Flat: 43%; Spending down 6%+: 8%; Churning/isolating: 6%</t>
  </si>
  <si>
    <t>Net Score Breakdown</t>
  </si>
  <si>
    <t>~30% (calculated)</t>
  </si>
  <si>
    <t>Recovering</t>
  </si>
  <si>
    <t>Churn at 6% is elevated vs pre-outage low single digits</t>
  </si>
  <si>
    <t>KPI-Churn; KPI-NRR</t>
  </si>
  <si>
    <t>ETR-NS-006</t>
  </si>
  <si>
    <t>NS-006</t>
  </si>
  <si>
    <t>CrowdStrike EPP Observatory Net Score — 61.4% — Led Endpoint Protection Platforms observatory with 61.4% Net Score; driven by 58% of unique respondents indicating Increase spend</t>
  </si>
  <si>
    <t>Led Endpoint Protection Platforms observatory with 61.4% Net Score; driven by 58% of unique respondents indicating Increase spend</t>
  </si>
  <si>
    <t>ETR Observatory for EPP</t>
  </si>
  <si>
    <t>61.4%</t>
  </si>
  <si>
    <t>Leading</t>
  </si>
  <si>
    <t>Unique CRWD respondents</t>
  </si>
  <si>
    <t>Highest in EPP category</t>
  </si>
  <si>
    <t>ETR-NS-007</t>
  </si>
  <si>
    <t>NS-007</t>
  </si>
  <si>
    <t>Spending Recovery</t>
  </si>
  <si>
    <t>Net Score Recovery Trajectory — Both green and red metrics moving in positive directions — green slowly growing; red declining dramatically. Not yet back to pre-outage levels.</t>
  </si>
  <si>
    <t>Both green and red metrics moving in positive directions — green slowly growing; red declining dramatically. Not yet back to pre-outage levels.</t>
  </si>
  <si>
    <t>TSIS time series</t>
  </si>
  <si>
    <t>Jul 2024–Apr 2025</t>
  </si>
  <si>
    <t>Net Score trend</t>
  </si>
  <si>
    <t>~400 customers</t>
  </si>
  <si>
    <t>Source Needed: More recent TSIS periods to confirm full recovery</t>
  </si>
  <si>
    <t>KPI-NRR</t>
  </si>
  <si>
    <t>ETR-OA-001</t>
  </si>
  <si>
    <t>OA-001</t>
  </si>
  <si>
    <t>Positive Outlook</t>
  </si>
  <si>
    <t>CrowdStrike Had Positive/Elevated Outlook Pre-Outage — Top-ranked InfoSec vendor in spending momentum with Positive data outlook through APR24 TSIS</t>
  </si>
  <si>
    <t>Top-ranked InfoSec vendor in spending momentum with Positive data outlook through APR24 TSIS</t>
  </si>
  <si>
    <t>Positive (implied)</t>
  </si>
  <si>
    <t>Maintained elevated</t>
  </si>
  <si>
    <t>CrowdStrike consistently held top InfoSec position</t>
  </si>
  <si>
    <t>ETR-OA-002</t>
  </si>
  <si>
    <t>Signal object</t>
  </si>
  <si>
    <t>SIG</t>
  </si>
  <si>
    <t>Negative Inflection</t>
  </si>
  <si>
    <t>Negative Inflection in OCT24 TSIS Data — ETR described a negative inflection in OCT24 TSIS data; ran additional follow-up surveys</t>
  </si>
  <si>
    <t>ETR described a negative inflection in OCT24 TSIS data; ran additional follow-up surveys</t>
  </si>
  <si>
    <t>TSIS + Follow-up surveys</t>
  </si>
  <si>
    <t>Oct 2024</t>
  </si>
  <si>
    <t>Negative inflection</t>
  </si>
  <si>
    <t>Deteriorating</t>
  </si>
  <si>
    <t>Triggered multiple follow-up research projects</t>
  </si>
  <si>
    <t>KPI-Churn</t>
  </si>
  <si>
    <t>ETR-OA-003</t>
  </si>
  <si>
    <t>OA-003</t>
  </si>
  <si>
    <t>Recovery Assessment</t>
  </si>
  <si>
    <t>CrowdStrike Re-Established Growth Momentum (Sep 2025) — theCUBE: CrowdStrike has re-established growth momentum while still working through overhang of July 2024 outage</t>
  </si>
  <si>
    <t>theCUBE: CrowdStrike has re-established growth momentum while still working through overhang of July 2024 outage</t>
  </si>
  <si>
    <t>Breaking Analysis</t>
  </si>
  <si>
    <t>Analyst assessment</t>
  </si>
  <si>
    <t>Positive (recovering)</t>
  </si>
  <si>
    <t>thecuberesearch.com/291-breaking-analysis-from-product-to-platform-how-crowdstrike-navigates-to-durable-growth/</t>
  </si>
  <si>
    <t>ETR-OA-005</t>
  </si>
  <si>
    <t>Outage Financial Impact</t>
  </si>
  <si>
    <t>CrowdStrike Customer Commitment Package (CCP) Revenue Impact — FY2025 guidance included est $30M subscription revenue impact per quarter from CCP; plus high-single-digit millions to prof services in H2</t>
  </si>
  <si>
    <t>FY2025 guidance included est $30M subscription revenue impact per quarter from CCP; plus high-single-digit millions to prof services in H2</t>
  </si>
  <si>
    <t>FY2025 Guidance</t>
  </si>
  <si>
    <t>CCP revenue impact</t>
  </si>
  <si>
    <t>~$30M/quarter subscription</t>
  </si>
  <si>
    <t>Headwind (lapsing)</t>
  </si>
  <si>
    <t>CCP headwinds expected to lapse converting to revenue tailwind</t>
  </si>
  <si>
    <t>KPI-Revenue</t>
  </si>
  <si>
    <t>ETR-PP-002</t>
  </si>
  <si>
    <t>PP-002</t>
  </si>
  <si>
    <t>Module Adoption Trajectory: FY2026 Q1 through Q3 — Q1 FY2026: 48%/32%/22%; Q3 FY2026: 49%/34%/24%; Q4 FY2026: 50%/34%/24% (6+/7+/8+)</t>
  </si>
  <si>
    <t>Q1 FY2026: 48%/32%/22%; Q3 FY2026: 49%/34%/24%; Q4 FY2026: 50%/34%/24% (6+/7+/8+)</t>
  </si>
  <si>
    <t>FY2026 (Apr–Jan 2026)</t>
  </si>
  <si>
    <t>See values</t>
  </si>
  <si>
    <t>Steadily increasing</t>
  </si>
  <si>
    <t>Consistent upward trajectory</t>
  </si>
  <si>
    <t>ETR-PP-004</t>
  </si>
  <si>
    <t>Falcon Flex Trajectory</t>
  </si>
  <si>
    <t>Flex ARR — $1.35B (Q3 FY2026); growing 200%+ YoY — Q3 FY2026: $1.35B ending ARR from Flex accounts; growing more than 200% year-over-year</t>
  </si>
  <si>
    <t>Q3 FY2026: $1.35B ending ARR from Flex accounts; growing more than 200% year-over-year</t>
  </si>
  <si>
    <t>Q3 FY2026 (Oct 2025)</t>
  </si>
  <si>
    <t>$1.35B</t>
  </si>
  <si>
    <t>+200% YoY</t>
  </si>
  <si>
    <t>Flex accounts</t>
  </si>
  <si>
    <t>ETR-PP-005</t>
  </si>
  <si>
    <t>Falcon Flex Economics</t>
  </si>
  <si>
    <t>Flex Subscription Uplift — 40% Average — Customers converting to Flex saw avg 40% ARR uplift; 2x re-Flex = 53% cumulative. 380+ re-Flex customers by Q4 FY2026. Avg 7 months to re-Flex.</t>
  </si>
  <si>
    <t>Customers converting to Flex saw avg 40% ARR uplift; 2x re-Flex = 53% cumulative. 380+ re-Flex customers by Q4 FY2026. Avg 7 months to re-Flex.</t>
  </si>
  <si>
    <t>CrowdStrike IR / Analysis</t>
  </si>
  <si>
    <t>Earnings + Commentary</t>
  </si>
  <si>
    <t>FY2026–FY2027</t>
  </si>
  <si>
    <t>Flex uplift</t>
  </si>
  <si>
    <t>40% avg (53% re-Flex 2x)</t>
  </si>
  <si>
    <t>Re-Flex expansions happen avg within 7 months</t>
  </si>
  <si>
    <t>KPI-NRR; KPI-ARR</t>
  </si>
  <si>
    <t>ETR-PP-006</t>
  </si>
  <si>
    <t>PP-006</t>
  </si>
  <si>
    <t>EPP Leadership</t>
  </si>
  <si>
    <t>CrowdStrike Leads ETR EPP Observatory — Leading Category — Led the Leading vector in EPP Observatory in both Momentum and Presence ahead of Microsoft Defender; Palo Alto; Fortinet</t>
  </si>
  <si>
    <t>Led the Leading vector in EPP Observatory in both Momentum and Presence ahead of Microsoft Defender; Palo Alto; Fortinet</t>
  </si>
  <si>
    <t>Observatory position</t>
  </si>
  <si>
    <t>Leading (top vector)</t>
  </si>
  <si>
    <t>Dominant</t>
  </si>
  <si>
    <t>Full EPP survey</t>
  </si>
  <si>
    <t>ETR-PP-008</t>
  </si>
  <si>
    <t>PP-008</t>
  </si>
  <si>
    <t>Cloud Weakness</t>
  </si>
  <si>
    <t>CrowdStrike Lags in Cloud Despite Endpoint Strength — Most vendors really good at core competencies but expanding too quickly; CrowdStrike notably lags in cloud</t>
  </si>
  <si>
    <t>Most vendors really good at core competencies but expanding too quickly; CrowdStrike notably lags in cloud</t>
  </si>
  <si>
    <t>2025 Tech Trends Panel</t>
  </si>
  <si>
    <t>Cloud perceived as weaker</t>
  </si>
  <si>
    <t>Contradictory to PP-007; perception vs data gap</t>
  </si>
  <si>
    <t>ETR-PP-010</t>
  </si>
  <si>
    <t>Identity GA</t>
  </si>
  <si>
    <t>Falcon Privileged Access — GA in Q1 FY2026 — Announced general availability of Falcon Privileged Access new module within Falcon Identity Protection</t>
  </si>
  <si>
    <t>Announced general availability of Falcon Privileged Access new module within Falcon Identity Protection</t>
  </si>
  <si>
    <t>Q1 FY2026 Earnings</t>
  </si>
  <si>
    <t>Q1 FY2026 (Apr 2025)</t>
  </si>
  <si>
    <t>Product launch</t>
  </si>
  <si>
    <t>GA</t>
  </si>
  <si>
    <t>ETR-PP-012</t>
  </si>
  <si>
    <t>PP-012</t>
  </si>
  <si>
    <t>SIEM Competitive Wins</t>
  </si>
  <si>
    <t>Falcon SIEM Triple-Digit ARR Growth; Winning from Legacy — Falcon Next-Gen SIEM posted triple-digit ARR growth in Q1 FY2026; winning accounts from legacy SIEM</t>
  </si>
  <si>
    <t>Falcon Next-Gen SIEM posted triple-digit ARR growth in Q1 FY2026; winning accounts from legacy SIEM</t>
  </si>
  <si>
    <t>Q1 FY2026</t>
  </si>
  <si>
    <t>SIEM growth</t>
  </si>
  <si>
    <t>Triple-digit</t>
  </si>
  <si>
    <t>Accelerating</t>
  </si>
  <si>
    <t>ETR-PP-013</t>
  </si>
  <si>
    <t>SIEM Qualitative Concern</t>
  </si>
  <si>
    <t>CrowdStrike Humio Scope Too Narrow per Enterprise User — Enterprise guest expects to consolidate around Rapid7 rather than CrowdStrike; Humio scope too narrow</t>
  </si>
  <si>
    <t>Enterprise guest expects to consolidate around Rapid7 rather than CrowdStrike; Humio scope too narrow</t>
  </si>
  <si>
    <t>Interview #415</t>
  </si>
  <si>
    <t>Negative SIEM perception</t>
  </si>
  <si>
    <t>Single enterprise</t>
  </si>
  <si>
    <t>Contradicts PP-011/PP-012; may reflect older vintage sentiment</t>
  </si>
  <si>
    <t>ETR-PP-015</t>
  </si>
  <si>
    <t>PP-015</t>
  </si>
  <si>
    <t>AIDR Product Launches</t>
  </si>
  <si>
    <t>Shadow AI Discovery; AIDR for Desktop; AI Runtime Inspection (RSAC 2026) — Announced Shadow AI Discovery; AIDR for Desktop; AI runtime inspection for cloud and Kubernetes at RSAC 2026</t>
  </si>
  <si>
    <t>Announced Shadow AI Discovery; AIDR for Desktop; AI runtime inspection for cloud and Kubernetes at RSAC 2026</t>
  </si>
  <si>
    <t>CrowdStrike / Toarn analysis</t>
  </si>
  <si>
    <t>Product announcements</t>
  </si>
  <si>
    <t>Product launches</t>
  </si>
  <si>
    <t>Multiple new capabilities</t>
  </si>
  <si>
    <t>Expanding</t>
  </si>
  <si>
    <t>Positions Falcon as AI governance layer</t>
  </si>
  <si>
    <t>ETR-PP-016</t>
  </si>
  <si>
    <t>PP-016</t>
  </si>
  <si>
    <t>Mythos Demand Catalyst</t>
  </si>
  <si>
    <t>Mythos Moment Driving AI Security Demand — CEO Kurtz: Mythos moment = mass-market acceptance AI adoption needs security. Deputy CISO: strategy changed because of Mythos</t>
  </si>
  <si>
    <t>CEO Kurtz: Mythos moment = mass-market acceptance AI adoption needs security. Deputy CISO: strategy changed because of Mythos</t>
  </si>
  <si>
    <t>CrowdStrike IR + Qualitate survey</t>
  </si>
  <si>
    <t>Earnings + Primary research</t>
  </si>
  <si>
    <t>Q2 FY2027 / Jun 2026</t>
  </si>
  <si>
    <t>Demand catalyst</t>
  </si>
  <si>
    <t>Inflection point</t>
  </si>
  <si>
    <t>1249 CRWD customer conversations (Qualitate)</t>
  </si>
  <si>
    <t>ETR-PV-001</t>
  </si>
  <si>
    <t>PV-001</t>
  </si>
  <si>
    <t>CrowdStrike Pervasion — 5th in InfoSec (JAN23) — Ranked 5th in Pervasion within Information Security sector vs SentinelOne at 30th</t>
  </si>
  <si>
    <t>Ranked 5th in Pervasion within Information Security sector vs SentinelOne at 30th</t>
  </si>
  <si>
    <t>Pervasion Rank</t>
  </si>
  <si>
    <t>5th</t>
  </si>
  <si>
    <t>Full TSIS survey</t>
  </si>
  <si>
    <t>Illustrates entrenchment in enterprise accounts</t>
  </si>
  <si>
    <t>ETR-PV-002</t>
  </si>
  <si>
    <t>PV-002</t>
  </si>
  <si>
    <t>Pervasion Dip Post-Outage and Recovery — Pervasion dipped after the July 2024 outage and has recovered nicely</t>
  </si>
  <si>
    <t>Pervasion dipped after the July 2024 outage and has recovered nicely</t>
  </si>
  <si>
    <t>Recovered</t>
  </si>
  <si>
    <t>Dip then recovery</t>
  </si>
  <si>
    <t>Full security sector</t>
  </si>
  <si>
    <t>Yellow line in ETR chart</t>
  </si>
  <si>
    <t>ETR-PV-003</t>
  </si>
  <si>
    <t>PV-003</t>
  </si>
  <si>
    <t>CrowdStrike Caught Up to Splunk in Pervasion (OCT23) — Caught up to Splunk in terms of pervasion in the ETR survey</t>
  </si>
  <si>
    <t>Caught up to Splunk in terms of pervasion in the ETR survey</t>
  </si>
  <si>
    <t>Equal to Splunk</t>
  </si>
  <si>
    <t>1700+ respondent base</t>
  </si>
  <si>
    <t>Milestone for market penetration</t>
  </si>
  <si>
    <t>ETR-SA-001</t>
  </si>
  <si>
    <t>SA-001</t>
  </si>
  <si>
    <t>Shared Accounts</t>
  </si>
  <si>
    <t>CrowdStrike #1 in Qualys Shared Accounts — Highest spending rates among Qualys customers: shared citation overlap of 122; Net Score of 60% within Qualys accounts</t>
  </si>
  <si>
    <t>Highest spending rates among Qualys customers: shared citation overlap of 122; Net Score of 60% within Qualys accounts</t>
  </si>
  <si>
    <t>Shared Net Score (Qualys overlap)</t>
  </si>
  <si>
    <t>60%</t>
  </si>
  <si>
    <t>122 shared citations</t>
  </si>
  <si>
    <t>SentinelOne ranked 11th with 32% Net Score in same overlap</t>
  </si>
  <si>
    <t>SIG-001; SIG-006</t>
  </si>
  <si>
    <t>ETR-SA-002</t>
  </si>
  <si>
    <t>SA-002</t>
  </si>
  <si>
    <t>Updated Shared Accounts Data — What does the most recent shared accounts analysis show for CrowdStrike across key peer overlaps?</t>
  </si>
  <si>
    <t>What does the most recent shared accounts analysis show for CrowdStrike across key peer overlaps?</t>
  </si>
  <si>
    <t>2025–2026</t>
  </si>
  <si>
    <t>Shared Net Score</t>
  </si>
  <si>
    <t>Critical gap: need current shared accounts data</t>
  </si>
  <si>
    <t>ETR-SI-001</t>
  </si>
  <si>
    <t>SI-001</t>
  </si>
  <si>
    <t>Customer Expansion</t>
  </si>
  <si>
    <t>46% of Customers Planned to Increase Spend (JAN23) — 46% of CrowdStrike customers planned to increase spend in 2023 vs 44% in 2022</t>
  </si>
  <si>
    <t>46% of CrowdStrike customers planned to increase spend in 2023 vs 44% in 2022</t>
  </si>
  <si>
    <t>Increase %</t>
  </si>
  <si>
    <t>46%</t>
  </si>
  <si>
    <t>CRWD customer base in survey</t>
  </si>
  <si>
    <t>Key driver of elevated Net Score</t>
  </si>
  <si>
    <t>ETR-SI-002</t>
  </si>
  <si>
    <t>SI-002</t>
  </si>
  <si>
    <t>Dollar-Based Retention</t>
  </si>
  <si>
    <t>Net Dollar Retention Rate — 115% (FY2026) — Existing customers expanded spending by 15% on average</t>
  </si>
  <si>
    <t>Existing customers expanded spending by 15% on average</t>
  </si>
  <si>
    <t>FY2026 (Jan 2026)</t>
  </si>
  <si>
    <t>Net Dollar Retention</t>
  </si>
  <si>
    <t>115%</t>
  </si>
  <si>
    <t>Decelerating from historical highs</t>
  </si>
  <si>
    <t>Full customer base</t>
  </si>
  <si>
    <t>Down from ~120%+ historically</t>
  </si>
  <si>
    <t>ETR-SI-003</t>
  </si>
  <si>
    <t>SI-003</t>
  </si>
  <si>
    <t>Net Dollar Retention Rate — 112% (Q4 FY2025) — Net dollar retention was 112% for Q4 FY2025; continuing deceleration trend</t>
  </si>
  <si>
    <t>Net dollar retention was 112% for Q4 FY2025; continuing deceleration trend</t>
  </si>
  <si>
    <t>Q4 FY2025 (Jan 2025)</t>
  </si>
  <si>
    <t>112%</t>
  </si>
  <si>
    <t>Post-outage trough</t>
  </si>
  <si>
    <t>SIG-002</t>
  </si>
  <si>
    <t>ETR-SI-004</t>
  </si>
  <si>
    <t>Gross Retention</t>
  </si>
  <si>
    <t>Gross Retention Rate — 97% (Q3 FY2025) — Q3 FY2025 gross retention was over 97%; down less than half a percentage point</t>
  </si>
  <si>
    <t>Q3 FY2025 gross retention was over 97%; down less than half a percentage point</t>
  </si>
  <si>
    <t>CrowdStrike IR / CEO Kurtz</t>
  </si>
  <si>
    <t>Earnings Call</t>
  </si>
  <si>
    <t>Q3 FY2025 (Oct 2024)</t>
  </si>
  <si>
    <t>97%</t>
  </si>
  <si>
    <t>Stable (slight decline)</t>
  </si>
  <si>
    <t>First full quarter post-outage; minimal churn</t>
  </si>
  <si>
    <t>ETR-SI-005</t>
  </si>
  <si>
    <t>SI-005</t>
  </si>
  <si>
    <t>Gross Retention Rate — 97% Maintained Through FY2026 — 97% retention rate maintained across the customer base through FY2026</t>
  </si>
  <si>
    <t>97% retention rate maintained across the customer base through FY2026</t>
  </si>
  <si>
    <t>REF-E-C01</t>
  </si>
  <si>
    <t>Reflexivity</t>
  </si>
  <si>
    <t>Company / fundamental evidence</t>
  </si>
  <si>
    <t>E-C01</t>
  </si>
  <si>
    <t>Evidence</t>
  </si>
  <si>
    <t>Competitive Pos.</t>
  </si>
  <si>
    <t>Named displaced incumbents — Microsoft, Splunk/Cisco, CyberArk/Okta</t>
  </si>
  <si>
    <t>Microsoft, Splunk/Cisco, CyberArk/Okta</t>
  </si>
  <si>
    <t>Q1/Q2 FY27 calls</t>
  </si>
  <si>
    <t>Reflexivity / company evidence</t>
  </si>
  <si>
    <t>FY27</t>
  </si>
  <si>
    <t>Competitive wins</t>
  </si>
  <si>
    <t>Not Specified</t>
  </si>
  <si>
    <t>Mgmt-stated</t>
  </si>
  <si>
    <t>Corroborate w/ ETR displacement</t>
  </si>
  <si>
    <t>REF-E-F01</t>
  </si>
  <si>
    <t>E-F01</t>
  </si>
  <si>
    <t>Revenue</t>
  </si>
  <si>
    <t>Total revenue growth — $1,471M, +26% YoY</t>
  </si>
  <si>
    <t>$1,471M, +26% YoY</t>
  </si>
  <si>
    <t>Q2 FY27 slide</t>
  </si>
  <si>
    <t>Q2 FY27</t>
  </si>
  <si>
    <t>Total revenue</t>
  </si>
  <si>
    <t>$1,471M (+26%)</t>
  </si>
  <si>
    <t>REF-E-F02</t>
  </si>
  <si>
    <t>E-F02</t>
  </si>
  <si>
    <t>Subscription revenue — $1,400M, +27% YoY</t>
  </si>
  <si>
    <t>$1,400M, +27% YoY</t>
  </si>
  <si>
    <t>Subscription rev</t>
  </si>
  <si>
    <t>$1,400M (+27%)</t>
  </si>
  <si>
    <t>Increase</t>
  </si>
  <si>
    <t>REF-E-F03</t>
  </si>
  <si>
    <t>E-F03</t>
  </si>
  <si>
    <t>ARR</t>
  </si>
  <si>
    <t>Ending ARR — $5,841M, +25% YoY</t>
  </si>
  <si>
    <t>$5,841M, +25% YoY</t>
  </si>
  <si>
    <t>Q2 FY27 supp.</t>
  </si>
  <si>
    <t>Ending ARR</t>
  </si>
  <si>
    <t>$5.84B (+25%)</t>
  </si>
  <si>
    <t>REF-E-F04</t>
  </si>
  <si>
    <t>E-F04</t>
  </si>
  <si>
    <t>Net new ARR record — $333M vs $221M PY</t>
  </si>
  <si>
    <t>$333M vs $221M PY</t>
  </si>
  <si>
    <t>Net new ARR</t>
  </si>
  <si>
    <t>$332.8M (+51%)</t>
  </si>
  <si>
    <t>REF-E-F05</t>
  </si>
  <si>
    <t>E-F05</t>
  </si>
  <si>
    <t>Cash Flow</t>
  </si>
  <si>
    <t>Free cash flow — $377M, 26% margin, +33% YoY</t>
  </si>
  <si>
    <t>$377M, 26% margin, +33% YoY</t>
  </si>
  <si>
    <t>Q2 FY27 at-a-glance</t>
  </si>
  <si>
    <t>FCF</t>
  </si>
  <si>
    <t>$377M (26%)</t>
  </si>
  <si>
    <t>REF-E-F06</t>
  </si>
  <si>
    <t>E-F06</t>
  </si>
  <si>
    <t>Profitability</t>
  </si>
  <si>
    <t>Non-GAAP op margin expansion — 25% vs 22% PY (+350bps)</t>
  </si>
  <si>
    <t>25% vs 22% PY (+350bps)</t>
  </si>
  <si>
    <t>Non-GAAP op margin</t>
  </si>
  <si>
    <t>25%</t>
  </si>
  <si>
    <t>REF-E-F07</t>
  </si>
  <si>
    <t>E-F07</t>
  </si>
  <si>
    <t>Op. Efficiency</t>
  </si>
  <si>
    <t>S&amp;M leverage — 28% of rev vs 31% PY</t>
  </si>
  <si>
    <t>28% of rev vs 31% PY</t>
  </si>
  <si>
    <t>Q2 FY27 recap</t>
  </si>
  <si>
    <t>S&amp;M % rev</t>
  </si>
  <si>
    <t>28%</t>
  </si>
  <si>
    <t>Decrease</t>
  </si>
  <si>
    <t>Company-cited</t>
  </si>
  <si>
    <t>Verify vs 10-Q</t>
  </si>
  <si>
    <t>REF-E-F08</t>
  </si>
  <si>
    <t>E-F08</t>
  </si>
  <si>
    <t>RPO (forward demand) — $10.7B, +49% YoY</t>
  </si>
  <si>
    <t>$10.7B, +49% YoY</t>
  </si>
  <si>
    <t>RPO</t>
  </si>
  <si>
    <t>$10.7B (+49%)</t>
  </si>
  <si>
    <t>Strong ETR-join</t>
  </si>
  <si>
    <t>REF-E-F09</t>
  </si>
  <si>
    <t>E-F09</t>
  </si>
  <si>
    <t>Subscription gross margin — 81% non-GAAP, +90bps</t>
  </si>
  <si>
    <t>81% non-GAAP, +90bps</t>
  </si>
  <si>
    <t>Sub gross margin</t>
  </si>
  <si>
    <t>81%</t>
  </si>
  <si>
    <t>Stable/Incr.</t>
  </si>
  <si>
    <t>REF-E-F10</t>
  </si>
  <si>
    <t>E-F10</t>
  </si>
  <si>
    <t>GAAP profitability (annual) — FY24 +$72.2M; FY26 −$162.5M</t>
  </si>
  <si>
    <t>FY24 +$72.2M; FY26 −$162.5M</t>
  </si>
  <si>
    <t>3P dataset</t>
  </si>
  <si>
    <t>FY22–26</t>
  </si>
  <si>
    <t>GAAP net income</t>
  </si>
  <si>
    <t>−$162.5M (FY26)</t>
  </si>
  <si>
    <t>Verify vs 10-K</t>
  </si>
  <si>
    <t>ACT-01</t>
  </si>
  <si>
    <t>REF-E-F11</t>
  </si>
  <si>
    <t>E-F11</t>
  </si>
  <si>
    <t>Guidance</t>
  </si>
  <si>
    <t>FY27 outlook raised — Rev $5.99–6.01B; ARR $6.60–6.61B</t>
  </si>
  <si>
    <t>Rev $5.99–6.01B; ARR $6.60–6.61B</t>
  </si>
  <si>
    <t>FY27 (G)</t>
  </si>
  <si>
    <t>FY27 rev guide</t>
  </si>
  <si>
    <t>$5.99–6.01B</t>
  </si>
  <si>
    <t>Guided</t>
  </si>
  <si>
    <t>Track vs Q3 actuals</t>
  </si>
  <si>
    <t>REF-E-O01</t>
  </si>
  <si>
    <t>E-O01</t>
  </si>
  <si>
    <t>Customers</t>
  </si>
  <si>
    <t>Total customer base — "nearly 100,000 businesses"</t>
  </si>
  <si>
    <t>"nearly 100,000 businesses"</t>
  </si>
  <si>
    <t>Q1 FY27 call</t>
  </si>
  <si>
    <t>Q1 FY27</t>
  </si>
  <si>
    <t>~100,000</t>
  </si>
  <si>
    <t>Exact count (Source Needed)</t>
  </si>
  <si>
    <t>REF-E-O02</t>
  </si>
  <si>
    <t>E-O02</t>
  </si>
  <si>
    <t>Multi-module adoption — 6+ 51%; 7+ 35%; 8+ 26%</t>
  </si>
  <si>
    <t>6+ 51%; 7+ 35%; 8+ 26%</t>
  </si>
  <si>
    <t>51/35/26%</t>
  </si>
  <si>
    <t>Sub cust. ex-Go</t>
  </si>
  <si>
    <t>Prime ETR cross-sell join</t>
  </si>
  <si>
    <t>REF-E-O03</t>
  </si>
  <si>
    <t>E-O03</t>
  </si>
  <si>
    <t>Cross Sell</t>
  </si>
  <si>
    <t>Re-Flex expansion — &gt;630 re-Flex; uplift &gt;40%; multi +53%</t>
  </si>
  <si>
    <t>&gt;630 re-Flex; uplift &gt;40%; multi +53%</t>
  </si>
  <si>
    <t>Q2 FY27 slides</t>
  </si>
  <si>
    <t>Re-Flex accts</t>
  </si>
  <si>
    <t>&gt;630 (&gt;6x YoY)</t>
  </si>
  <si>
    <t>Flex base</t>
  </si>
  <si>
    <t>REF-E-O04</t>
  </si>
  <si>
    <t>E-O04</t>
  </si>
  <si>
    <t>Whitespace opportunity — $29B vs $21B PY</t>
  </si>
  <si>
    <t>$29B vs $21B PY</t>
  </si>
  <si>
    <t>Whitespace TAM</t>
  </si>
  <si>
    <t>$29B</t>
  </si>
  <si>
    <t>Existing base</t>
  </si>
  <si>
    <t>Company-modeled</t>
  </si>
  <si>
    <t>Note assumptions</t>
  </si>
  <si>
    <t>REF-E-O05</t>
  </si>
  <si>
    <t>E-O05</t>
  </si>
  <si>
    <t>Retention</t>
  </si>
  <si>
    <t>Retention rates — "strong retention" cited; exact % not in data</t>
  </si>
  <si>
    <t>"strong retention" cited; exact % not in data</t>
  </si>
  <si>
    <t>Q1–Q2 FY27</t>
  </si>
  <si>
    <t>DBNR / gross ret.</t>
  </si>
  <si>
    <t>Not disclosed</t>
  </si>
  <si>
    <t>Retrieve exact DBNR/GRR %</t>
  </si>
  <si>
    <t>REF-E-P01</t>
  </si>
  <si>
    <t>E-P01</t>
  </si>
  <si>
    <t>Cloud Security</t>
  </si>
  <si>
    <t>Cloud security ARR — &gt;$905M, &gt;29% YoY</t>
  </si>
  <si>
    <t>&gt;$905M, &gt;29% YoY</t>
  </si>
  <si>
    <t>Cloud sec ARR</t>
  </si>
  <si>
    <t>&gt;$905M (&gt;29%)</t>
  </si>
  <si>
    <t>REF-E-P02</t>
  </si>
  <si>
    <t>E-P02</t>
  </si>
  <si>
    <t>SIEM</t>
  </si>
  <si>
    <t>Next-gen SIEM ARR — &gt;$695M, &gt;60% YoY</t>
  </si>
  <si>
    <t>&gt;$695M, &gt;60% YoY</t>
  </si>
  <si>
    <t>NG-SIEM ARR</t>
  </si>
  <si>
    <t>&gt;$695M (&gt;60%)</t>
  </si>
  <si>
    <t>ETR SIEM-displacement join</t>
  </si>
  <si>
    <t>REF-E-P03</t>
  </si>
  <si>
    <t>E-P03</t>
  </si>
  <si>
    <t>Identity</t>
  </si>
  <si>
    <t>Next-gen Identity ARR — &gt;$585M, &gt;33% YoY</t>
  </si>
  <si>
    <t>&gt;$585M, &gt;33% YoY</t>
  </si>
  <si>
    <t>NG Identity ARR</t>
  </si>
  <si>
    <t>&gt;$585M (&gt;33%)</t>
  </si>
  <si>
    <t>REF-E-P04</t>
  </si>
  <si>
    <t>E-P04</t>
  </si>
  <si>
    <t>Charlotte AI</t>
  </si>
  <si>
    <t>AIDR &amp; Charlotte AI ramp — AIDR ~3x QoQ; Charlotte ARR accel.</t>
  </si>
  <si>
    <t>AIDR ~3x QoQ; Charlotte ARR accel.</t>
  </si>
  <si>
    <t>Q2 recap; Q1 call</t>
  </si>
  <si>
    <t>AIDR/Charlotte growth</t>
  </si>
  <si>
    <t>No $ base</t>
  </si>
  <si>
    <t>Get absolute $ (Source Needed)</t>
  </si>
  <si>
    <t>REF-E-P05</t>
  </si>
  <si>
    <t>E-P05</t>
  </si>
  <si>
    <t>Endpoint</t>
  </si>
  <si>
    <t>Endpoint ARR streak — Net-new ARR grew 4th consec. Q</t>
  </si>
  <si>
    <t>Net-new ARR grew 4th consec. Q</t>
  </si>
  <si>
    <t>Endpoint ARR trend</t>
  </si>
  <si>
    <t>4 consec. Q</t>
  </si>
  <si>
    <t>Get $ figure (Source Needed)</t>
  </si>
  <si>
    <t>REF-INT-01</t>
  </si>
  <si>
    <t>Research question / intrigue</t>
  </si>
  <si>
    <t>INT-01</t>
  </si>
  <si>
    <t>Intrigue</t>
  </si>
  <si>
    <t>Net new ARR re-accelerated post-incident — NNARR +51% YoY, record</t>
  </si>
  <si>
    <t>NNARR +51% YoY, record</t>
  </si>
  <si>
    <t>Q2 FY27 release</t>
  </si>
  <si>
    <t>All sub</t>
  </si>
  <si>
    <t>Join to ETR spend-intent</t>
  </si>
  <si>
    <t>REF-INT-02</t>
  </si>
  <si>
    <t>INT-02</t>
  </si>
  <si>
    <t>Falcon Flex is consolidation flywheel — Flex ARR $2.29B (+101%); &gt;2,900 Flex, &gt;630 re-Flex</t>
  </si>
  <si>
    <t>Flex ARR $2.29B (+101%); &gt;2,900 Flex, &gt;630 re-Flex</t>
  </si>
  <si>
    <t>Flex ending ARR</t>
  </si>
  <si>
    <t>$2.29B (+101%)</t>
  </si>
  <si>
    <t>Flex accts</t>
  </si>
  <si>
    <t>Map to ETR consolidation</t>
  </si>
  <si>
    <t>REF-INT-03</t>
  </si>
  <si>
    <t>INT-03</t>
  </si>
  <si>
    <t>AI</t>
  </si>
  <si>
    <t>AIDR emerging as large TAM — AIDR ARR ~3x QoQ; "largest opportunity in history"</t>
  </si>
  <si>
    <t>AIDR ARR ~3x QoQ; "largest opportunity in history"</t>
  </si>
  <si>
    <t>Not disc.</t>
  </si>
  <si>
    <t>REF-INTP-01</t>
  </si>
  <si>
    <t>Reflexivity interpretation</t>
  </si>
  <si>
    <t>INTP-01</t>
  </si>
  <si>
    <t>Interpretation</t>
  </si>
  <si>
    <t>NNARR reacceleration signals demand recovery — Cites: E-F04, E-F08</t>
  </si>
  <si>
    <t>Cites: E-F04, E-F08</t>
  </si>
  <si>
    <t>Derived</t>
  </si>
  <si>
    <t>Validate vs ETR</t>
  </si>
  <si>
    <t>REF-INTP-02</t>
  </si>
  <si>
    <t>INTP-02</t>
  </si>
  <si>
    <t>Flex is driving module depth &amp; cross-sell — Cites: INT-02, E-O02, E-O03</t>
  </si>
  <si>
    <t>Cites: INT-02, E-O02, E-O03</t>
  </si>
  <si>
    <t>REF-KPI-01</t>
  </si>
  <si>
    <t>KPI candidate</t>
  </si>
  <si>
    <t>KPI-01</t>
  </si>
  <si>
    <t>KPI</t>
  </si>
  <si>
    <t>Revenue growth — +26% YoY</t>
  </si>
  <si>
    <t>+26% YoY</t>
  </si>
  <si>
    <t>Rev growth</t>
  </si>
  <si>
    <t>26%</t>
  </si>
  <si>
    <t>Candidate</t>
  </si>
  <si>
    <t>ETR test</t>
  </si>
  <si>
    <t>REF-KPI-02</t>
  </si>
  <si>
    <t>KPI-02</t>
  </si>
  <si>
    <t>ARR growth — +25% YoY</t>
  </si>
  <si>
    <t>+25% YoY</t>
  </si>
  <si>
    <t>ARR growth</t>
  </si>
  <si>
    <t>REF-SIG-01</t>
  </si>
  <si>
    <t>Reflexivity-derived signal</t>
  </si>
  <si>
    <t>SIG-01</t>
  </si>
  <si>
    <t>Demand strengthening — Supports: E-F01, E-F03, E-F04, E-F08</t>
  </si>
  <si>
    <t>Supports: E-F01, E-F03, E-F04, E-F08</t>
  </si>
  <si>
    <t>Multi-evidence</t>
  </si>
  <si>
    <t>Test vs ETR spend intent</t>
  </si>
  <si>
    <t>REF-SIG-02</t>
  </si>
  <si>
    <t>Customer Consolidation</t>
  </si>
  <si>
    <t>Platform consolidation accelerating — Supports: INT-02, E-O02, E-O03</t>
  </si>
  <si>
    <t>Supports: INT-02, E-O02, E-O03</t>
  </si>
  <si>
    <t>Test vs ETR consolidation</t>
  </si>
  <si>
    <t>REF-SIG-03</t>
  </si>
  <si>
    <t>SIG-03</t>
  </si>
  <si>
    <t>AI adoption becoming material — Supports: INT-03, E-P02, E-P04</t>
  </si>
  <si>
    <t>Supports: INT-03, E-P02, E-P04</t>
  </si>
  <si>
    <t>Quantify AI ARR base</t>
  </si>
  <si>
    <t>REF-SIG-04</t>
  </si>
  <si>
    <t>SIG-04</t>
  </si>
  <si>
    <t>Large Customers</t>
  </si>
  <si>
    <t>Large-customer expansion continuing — Supports: INT-02, E-O03, E-O04</t>
  </si>
  <si>
    <t>Supports: INT-02, E-O03, E-O04</t>
  </si>
  <si>
    <t>Split large vs overall</t>
  </si>
  <si>
    <t>V5 Integrated Evidence</t>
  </si>
  <si>
    <t>CURRENT — V5</t>
  </si>
  <si>
    <t>EV-001</t>
  </si>
  <si>
    <t>Direct</t>
  </si>
  <si>
    <t>Post-Outage Net Score Recovery</t>
  </si>
  <si>
    <t>CrowdStrike Net Score collapsed from 46.70% (Jul 2024) to 9.15% (Oct 2024) following the July 19, 2024 outage, then recovered to 38.05% by Oct 2026</t>
  </si>
  <si>
    <t>Net Score: 46.70→9.15→19.96→23.16→29.65→26.61→31.54→27.32→36.46→38.05</t>
  </si>
  <si>
    <t>Jul 2024 – Oct 2026</t>
  </si>
  <si>
    <t>38.05</t>
  </si>
  <si>
    <t>Recovering but below pre-outage peak</t>
  </si>
  <si>
    <t>Oct 2026 value differs between API (38.05/N=452) and user snapshot (37.14). API is more recent.</t>
  </si>
  <si>
    <t>EV-002</t>
  </si>
  <si>
    <t>Deployment Breadth Growth</t>
  </si>
  <si>
    <t>CrowdStrike Pervasion grew from 31.01% (Jan 2024) to 41.22% (Oct 2026), a 10.21 ppt increase over 12 quarters despite the outage</t>
  </si>
  <si>
    <t>Pervasion: 31.01→31.42→31.01→28.99→33.99→35.80→35.11→38.49→35.74→37.46→38.38→41.22</t>
  </si>
  <si>
    <t>41.22</t>
  </si>
  <si>
    <t>Consistent growth</t>
  </si>
  <si>
    <t>EV-003</t>
  </si>
  <si>
    <t>Charlotte AI Adoption Profile</t>
  </si>
  <si>
    <t>In Jul 2026, 24.2% of CrowdStrike customers had rolled out Charlotte AI, 27.0% were evaluating/piloting, and 20.2% planned to evaluate within 6 months</t>
  </si>
  <si>
    <t>Rolled out: 27.2%→28.3%→24.2%; Evaluating: 23.9%→18.3%→27.0%; Plan to evaluate: 18.3%→22.8%→20.2%</t>
  </si>
  <si>
    <t>Jul 2025 – Jul 2026</t>
  </si>
  <si>
    <t>24.2% rolled out</t>
  </si>
  <si>
    <t>Active pipeline; evaluation surge in Jul 2026</t>
  </si>
  <si>
    <t>Usage metric covers CrowdStrike customers only, not general market</t>
  </si>
  <si>
    <t>SIG-12</t>
  </si>
  <si>
    <t>EV-004</t>
  </si>
  <si>
    <t>Charlotte AI Feature Value Improving</t>
  </si>
  <si>
    <t>Extremely Valuable + Very Valuable ratings rose from 40.8% (Jul 2025) to 57.1% (Jul 2026) among current users</t>
  </si>
  <si>
    <t>Extremely+Very: Jul25=40.8%, Jan26=45.1%, Jul26=57.1%</t>
  </si>
  <si>
    <t>Feature Value</t>
  </si>
  <si>
    <t>57.1% top-2 box</t>
  </si>
  <si>
    <t>Positive trend</t>
  </si>
  <si>
    <t>N=42 in Jul 2026 is relatively small</t>
  </si>
  <si>
    <t>EV-005</t>
  </si>
  <si>
    <t>Willingness to Pay Strengthening</t>
  </si>
  <si>
    <t>Share willing to pay 0% extra dropped from 30.6% (Jul 2025) to 16.7% (Jul 2026); share willing to pay 11-25%+ rose from 22.4% to 42.9%</t>
  </si>
  <si>
    <t>WTP 0%: 30.6%→17.6%→16.7%; WTP 11-25%+: 22.4%→31.4%→42.9%</t>
  </si>
  <si>
    <t>Willingness to Pay</t>
  </si>
  <si>
    <t>16.7% unwilling</t>
  </si>
  <si>
    <t>Improving monetization signal</t>
  </si>
  <si>
    <t>N=42 in Jul 2026</t>
  </si>
  <si>
    <t>EV-006</t>
  </si>
  <si>
    <t>Charlotte AI Retention Impact Growing</t>
  </si>
  <si>
    <t>Strong+Significant impact on continued usage rose from 34.6% (Jul 2025) to 50.0% (Jul 2026)</t>
  </si>
  <si>
    <t>Strong+Significant: Jul25=34.6%, Jan26=35.3%, Jul26=50.0%</t>
  </si>
  <si>
    <t>Impact on Continual Usage</t>
  </si>
  <si>
    <t>50.0% strong/significant</t>
  </si>
  <si>
    <t>N=42; "Strong impact" alone rose from 22.4% to 33.3%</t>
  </si>
  <si>
    <t>EV-007</t>
  </si>
  <si>
    <t>Qualitative ITDM Commentary Available</t>
  </si>
  <si>
    <t>ETR gathered qualitative commentary on CrowdStrike from 16 IT decision-makers in August 2026</t>
  </si>
  <si>
    <t>16 ITDMs surveyed 8/24/2026–8/25/2026</t>
  </si>
  <si>
    <t>Not extracted</t>
  </si>
  <si>
    <t>Full text not extracted in this package; PDF required</t>
  </si>
  <si>
    <t>TSIS-2024-01</t>
  </si>
  <si>
    <t>ETR API</t>
  </si>
  <si>
    <t>Demand History</t>
  </si>
  <si>
    <t>Jan 2024 Net Score 46.46 and Pervasion 31.01</t>
  </si>
  <si>
    <t>Citation Count 396</t>
  </si>
  <si>
    <t>Jan 2024</t>
  </si>
  <si>
    <t>Net Score/Pervasion</t>
  </si>
  <si>
    <t>46.46 / 31.01</t>
  </si>
  <si>
    <t>Historical</t>
  </si>
  <si>
    <t>396</t>
  </si>
  <si>
    <t>Integrated TSIS history</t>
  </si>
  <si>
    <t>crowdstrike_tsis_history.csv</t>
  </si>
  <si>
    <t>TSIS-2024-04</t>
  </si>
  <si>
    <t>Apr 2024 Net Score 47.92 and Pervasion 31.42</t>
  </si>
  <si>
    <t>Citation Count 457</t>
  </si>
  <si>
    <t>47.92 / 31.42</t>
  </si>
  <si>
    <t>457</t>
  </si>
  <si>
    <t>TSIS-2024-07</t>
  </si>
  <si>
    <t>Jul 2024 Net Score 46.7 and Pervasion 31.01</t>
  </si>
  <si>
    <t>Citation Count 424</t>
  </si>
  <si>
    <t>46.7 / 31.01</t>
  </si>
  <si>
    <t>424</t>
  </si>
  <si>
    <t>TSIS-2024-10</t>
  </si>
  <si>
    <t>Oct 2024 Net Score 9.15 and Pervasion 28.99</t>
  </si>
  <si>
    <t>Citation Count 437</t>
  </si>
  <si>
    <t>9.15 / 28.99</t>
  </si>
  <si>
    <t>437</t>
  </si>
  <si>
    <t>TSIS-2025-01</t>
  </si>
  <si>
    <t>Jan 2025 Net Score 19.96 and Pervasion 33.99</t>
  </si>
  <si>
    <t>Citation Count 521</t>
  </si>
  <si>
    <t>19.96 / 33.99</t>
  </si>
  <si>
    <t>521</t>
  </si>
  <si>
    <t>TSIS-2025-04</t>
  </si>
  <si>
    <t>Apr 2025 Net Score 23.16 and Pervasion 35.8</t>
  </si>
  <si>
    <t>Citation Count 570</t>
  </si>
  <si>
    <t>23.16 / 35.8</t>
  </si>
  <si>
    <t>570</t>
  </si>
  <si>
    <t>TSIS-2025-07</t>
  </si>
  <si>
    <t>Jul 2025 Net Score 29.65 and Pervasion 35.11</t>
  </si>
  <si>
    <t>Citation Count 489</t>
  </si>
  <si>
    <t>Jul 2025</t>
  </si>
  <si>
    <t>29.65 / 35.11</t>
  </si>
  <si>
    <t>489</t>
  </si>
  <si>
    <t>TSIS-2025-10</t>
  </si>
  <si>
    <t>Oct 2025 Net Score 26.61 and Pervasion 38.49</t>
  </si>
  <si>
    <t>Citation Count 560</t>
  </si>
  <si>
    <t>Oct 2025</t>
  </si>
  <si>
    <t>26.61 / 38.49</t>
  </si>
  <si>
    <t>560</t>
  </si>
  <si>
    <t>TSIS-2026-01</t>
  </si>
  <si>
    <t>Jan 2026 Net Score 31.54 and Pervasion 35.74</t>
  </si>
  <si>
    <t>Citation Count 501</t>
  </si>
  <si>
    <t>Jan 2026</t>
  </si>
  <si>
    <t>31.54 / 35.74</t>
  </si>
  <si>
    <t>501</t>
  </si>
  <si>
    <t>TSIS-2026-04</t>
  </si>
  <si>
    <t>Apr 2026 Net Score 27.32 and Pervasion 37.46</t>
  </si>
  <si>
    <t>Citation Count 549</t>
  </si>
  <si>
    <t>Apr 2026</t>
  </si>
  <si>
    <t>27.32 / 37.46</t>
  </si>
  <si>
    <t>549</t>
  </si>
  <si>
    <t>TSIS-2026-07</t>
  </si>
  <si>
    <t>Jul 2026 Net Score 36.46 and Pervasion 38.38</t>
  </si>
  <si>
    <t>Citation Count 491</t>
  </si>
  <si>
    <t>36.46 / 38.38</t>
  </si>
  <si>
    <t>491</t>
  </si>
  <si>
    <t>TSIS-2026-10</t>
  </si>
  <si>
    <t>Oct 2026 Net Score 38.05 and Pervasion 41.22</t>
  </si>
  <si>
    <t>Citation Count 452</t>
  </si>
  <si>
    <t>38.05 / 41.22</t>
  </si>
  <si>
    <t>452</t>
  </si>
  <si>
    <t>Oct 2026 Net Score 37.14 and Pervasion 40.9</t>
  </si>
  <si>
    <t>Citation Count Not supplied</t>
  </si>
  <si>
    <t>37.14 / 40.9</t>
  </si>
  <si>
    <t>Not supplied</t>
  </si>
  <si>
    <t>Conflicting</t>
  </si>
  <si>
    <t>Where research judgment becomes visible: review candidate signals, examine supporting and counter-evidence, and record decisions without changing source evidence.</t>
  </si>
  <si>
    <t>Signal candidates — analyst review</t>
  </si>
  <si>
    <t>Signal ID</t>
  </si>
  <si>
    <t>Signal Name</t>
  </si>
  <si>
    <t>Signal Statement</t>
  </si>
  <si>
    <t>Evidence Strength</t>
  </si>
  <si>
    <t>Source Gaps</t>
  </si>
  <si>
    <t>Reviewer Decision</t>
  </si>
  <si>
    <t>Reviewer Notes</t>
  </si>
  <si>
    <t>Supporting Evidence IDs</t>
  </si>
  <si>
    <t>Counter-Evidence IDs</t>
  </si>
  <si>
    <t>Lineage Status</t>
  </si>
  <si>
    <t>Platform Consolidation Accelerating via Falcon Flex</t>
  </si>
  <si>
    <t>Enterprise customers are consolidating security spend onto the Falcon platform through the Flex subscription model producing measurable uplift in per-customer ARR and multi-module adoption rates.</t>
  </si>
  <si>
    <t>Strong — multiple quantitative metrics from CrowdStrike IR filings across consecutive quarters (Q1 FY2026 through Q2 FY2027); corroborated by ETR Net Score composition data</t>
  </si>
  <si>
    <t>OQ-001 (current Net Score); OQ-006 (churn normalization); OQ-007 (CCP lapsing impact)</t>
  </si>
  <si>
    <t>Pending Review</t>
  </si>
  <si>
    <t>CE-003; CE-006; CE-008</t>
  </si>
  <si>
    <t>Review / normalize in Research Lineage</t>
  </si>
  <si>
    <t>Post-Outage Spending Recovery in ETR TSIS Data</t>
  </si>
  <si>
    <t>CrowdStrike spending intent recovered from the post-outage trough and persisted through October 2026: Net Score 37.14 (+0.69 vs Jul 2026; +10.54 vs Oct 2025), Pervasion 40.90, with Q/Q Z 0.129 and Y/Y Z 0.892.</t>
  </si>
  <si>
    <t>Medium-High</t>
  </si>
  <si>
    <t>Strong current-period base and breadth data; actual Z-Scores supplied; cohort and regional Ns remain missing.</t>
  </si>
  <si>
    <t>Z-Score method bands; cohort/region N; current retention; current shared accounts</t>
  </si>
  <si>
    <t>ETR-OCT26-NS; ETR-OCT26-PV; ETR-OCT26-ZS; ETR-OCT26-ADOPT</t>
  </si>
  <si>
    <t>CE-001; CE-002</t>
  </si>
  <si>
    <t>Net New ARR Reacceleration Cycle</t>
  </si>
  <si>
    <t>CrowdStrike quarterly net new ARR troughed at $153M (Q3 FY2025) and reaccelerated in every subsequent quarter to a record $333M (Q2 FY2027 +51% YoY) with management raising FY2027 growth guidance by 630 basis points.</t>
  </si>
  <si>
    <t>Strong — consecutive quarterly earnings releases with audited financial data provide unbroken time series from Q3 FY2025 through Q2 FY2027.</t>
  </si>
  <si>
    <t>OQ-004 (ETR Forecaster validation); OQ-012 (TAM sustainability); OQ-013 (international growth)</t>
  </si>
  <si>
    <t>ETR-OCT26-NS; ETR-OCT26-ZS</t>
  </si>
  <si>
    <t>CE-007; CE-009; CE-010</t>
  </si>
  <si>
    <t>AI Security (Mythos Moment) as New Demand Vector</t>
  </si>
  <si>
    <t>The emergence of AI agent threats and the Mythos moment created a new category of security demand (AIDR) with CrowdStrike positioning Falcon as the governance and trust layer for enterprise AI adoption.</t>
  </si>
  <si>
    <t>Moderate — AIDR ARR nearly tripled QoQ and Qualitate captured 1249 customer conversations but AIDR absolute ARR undisclosed. Product launches announced but efficacy metrics unavailable.</t>
  </si>
  <si>
    <t>OQ-009 (blast radius governance); OQ-012 (TAM validation); OQ-011 (ETR TSIS AI security signal)</t>
  </si>
  <si>
    <t>CE-007; CE-008</t>
  </si>
  <si>
    <t>SIG-05</t>
  </si>
  <si>
    <t>Enterprise Cohort Dominance (G2000 / Fortune 500)</t>
  </si>
  <si>
    <t>October 2026 select indexed enterprise cohorts were above overall Net Score: G2000 42.61 and F500 42.68 versus 37.14; Large Organizations were 35.82, so strength was selective.</t>
  </si>
  <si>
    <t>Current data, but cohort N is not included in the supplied candlestick export.</t>
  </si>
  <si>
    <t>Cohort N; current shared accounts</t>
  </si>
  <si>
    <t>ETR-OCT26-PV; ETR-OCT26-G2K</t>
  </si>
  <si>
    <t>SIG-06</t>
  </si>
  <si>
    <t>Competitive Moat Resilience Despite Outage</t>
  </si>
  <si>
    <t>Despite July 2024 outage impacting 96% of surveyed customers CrowdStrike maintained 97% gross retention reduced replacement intent from 44% to 10% firm within 9 months recovered Pervasion and reaccelerated net new ARR to all-time records.</t>
  </si>
  <si>
    <t>Strong on retention metrics (audited); moderate on competitive positioning (ETR survey with gap). Resilience thesis rests on verified financial outcomes but competitive landscape impact is unresolved.</t>
  </si>
  <si>
    <t>OQ-002 (current ETR outlook); OQ-006 (current churn); OQ-011 (2025 EPP Observatory)</t>
  </si>
  <si>
    <t>SIG-07</t>
  </si>
  <si>
    <t>Geographic Recovery Divergence</t>
  </si>
  <si>
    <t>October 2026 regional Net Score varied from APAC 54.29 to EMEA 27.27, with North America 37.14 and International 33.33.</t>
  </si>
  <si>
    <t>Moderate — current regional values supplied; regional Ns absent</t>
  </si>
  <si>
    <t>Regional N; mapping to company geographic KPI</t>
  </si>
  <si>
    <t>None linked</t>
  </si>
  <si>
    <t>HOW TO CREATE A SIGNAL: draft the signal → name supporting and counter-evidence IDs here → create one normalized edge per evidence item in Research Lineage → send unresolved gaps to Research Queue.</t>
  </si>
  <si>
    <t>Research Lineage is not a pre-signal task. It is the traceability record created when the analyst attaches approved evidence to a draft or approved signal.</t>
  </si>
  <si>
    <t>Updated interpretations — facts remain separate from meanings</t>
  </si>
  <si>
    <t>Rank</t>
  </si>
  <si>
    <t>ETR Classification</t>
  </si>
  <si>
    <t>Updated Interpretation</t>
  </si>
  <si>
    <t>Supporting Evidence</t>
  </si>
  <si>
    <t>What It Does Not Prove</t>
  </si>
  <si>
    <t>Rule IDs</t>
  </si>
  <si>
    <t>ETR Interpretation</t>
  </si>
  <si>
    <t>Demand trajectory</t>
  </si>
  <si>
    <t>Oct 2026 Net Score 37.14 is only 0.69 points above Jul 2026 but 10.54 points above Oct 2025. Sequential movement is relatively flat; the year-over-year recovery is material.</t>
  </si>
  <si>
    <t>Revenue, ARR, market share, or future performance.</t>
  </si>
  <si>
    <t>High on current raw values</t>
  </si>
  <si>
    <t>R-002; R-003; R-004; R-005; R-009</t>
  </si>
  <si>
    <t>Provisional</t>
  </si>
  <si>
    <t>Pervasion rose to 40.90, from 38.38 in Jul 2026 and 38.49 in Oct 2025. Breadth continued to expand.</t>
  </si>
  <si>
    <t>Revenue, dollars, or market share.</t>
  </si>
  <si>
    <t>R-008; R-009</t>
  </si>
  <si>
    <t>Q/Q Z-Score 0.129 and Y/Y Z-Score 0.892 are both positive; the Y/Y model output is higher, matching the larger Y/Y base-metric change.</t>
  </si>
  <si>
    <t>Statistical significance, approved strength band, economic relevance, or prediction.</t>
  </si>
  <si>
    <t>Medium — values available; bands absent</t>
  </si>
  <si>
    <t>R-006; R-007; R-026</t>
  </si>
  <si>
    <t>Provisional / Method Source Needed</t>
  </si>
  <si>
    <t>Enterprise cohorts</t>
  </si>
  <si>
    <t>Global 2000 (42.61) and Fortune 500 (42.68) Net Scores exceed overall (37.14), while Large Organizations (35.82) are below overall. Enterprise strength is selective.</t>
  </si>
  <si>
    <t>ETR-OCT26-G2K; ETR-OCT26-F500; ETR-OCT26-LARGE</t>
  </si>
  <si>
    <t>Broad enterprise dominance or company large-customer revenue.</t>
  </si>
  <si>
    <t>Medium — cohort N missing</t>
  </si>
  <si>
    <t>R-010; R-011; R-024</t>
  </si>
  <si>
    <t>Geography</t>
  </si>
  <si>
    <t>APAC (54.29) leads the supplied regional cuts, while EMEA (27.27) trails. Recovery is geographically uneven.</t>
  </si>
  <si>
    <t>Regional revenue performance or causal explanation.</t>
  </si>
  <si>
    <t>Medium — regional N missing</t>
  </si>
  <si>
    <t>Adoption drivers</t>
  </si>
  <si>
    <t>Technical capabilities and product security are the two highest percentages among the supplied Oct 26 adoption-reason rows; Feature Breadth declined versus Jul 26.</t>
  </si>
  <si>
    <t>That those reasons caused overall Net Score or company KPI performance.</t>
  </si>
  <si>
    <t>Medium — reason N missing</t>
  </si>
  <si>
    <t>R-013; R-019</t>
  </si>
  <si>
    <t>Hypothesis</t>
  </si>
  <si>
    <t>Signal → KPI</t>
  </si>
  <si>
    <t>October demand persistence and positive Z-Score context are directionally consistent with the existing demand-recovery thesis, but demand → Net New ARR remains unvalidated.</t>
  </si>
  <si>
    <t>ETR-OCT26-NS; ETR-OCT26-PV; ETR-OCT26-ZS; REF-E-F04</t>
  </si>
  <si>
    <t>Causation, lag, or incremental explanatory power.</t>
  </si>
  <si>
    <t>R-015; R-016; R-021; R-026</t>
  </si>
  <si>
    <t>Backtest Required</t>
  </si>
  <si>
    <t>Cross-lane synthesis — ETR evidence + company evidence</t>
  </si>
  <si>
    <t>Bridge ID</t>
  </si>
  <si>
    <t>Research Theme</t>
  </si>
  <si>
    <t>ETR Evidence IDs / Source</t>
  </si>
  <si>
    <t>Reflexivity Object IDs</t>
  </si>
  <si>
    <t>Relationship Type</t>
  </si>
  <si>
    <t>Integrated Evidence Statement</t>
  </si>
  <si>
    <t>Recommended Action</t>
  </si>
  <si>
    <t>XL-01</t>
  </si>
  <si>
    <t>Demand recovery / operating acceleration</t>
  </si>
  <si>
    <t>ETR-OCT26-NS; ETR-OCT26-PV; ETR-OCT26-INTENT; ETR-OCT26-ZS</t>
  </si>
  <si>
    <t>REF-E-F01; REF-E-F03; REF-E-F04; REF-E-F08</t>
  </si>
  <si>
    <t>Parallel evidence / consistent with</t>
  </si>
  <si>
    <t>October 2026 demand and breadth evidence, positive raw Z-Scores, and company-reported ARR/Net New ARR outcomes move in a directionally consistent pattern.</t>
  </si>
  <si>
    <t>Does not prove ETR measures or Z-Score caused or predicted company outcomes; lag, bands, and confounders require testing.</t>
  </si>
  <si>
    <t>Review quarter alignment; test one KPI at a time.</t>
  </si>
  <si>
    <t>XL-02</t>
  </si>
  <si>
    <t>Platform consolidation / Falcon Flex</t>
  </si>
  <si>
    <t>ETR Edge consolidation and footprint-expansion observations in JUL26 report</t>
  </si>
  <si>
    <t>REF-INT-02; REF-E-O02; REF-E-O03</t>
  </si>
  <si>
    <t>Qualitative corroboration</t>
  </si>
  <si>
    <t>ETR qualitative evidence and company-reported module/Flex evidence both reference consolidation or footprint expansion.</t>
  </si>
  <si>
    <t>Does not isolate Flex accounts in ETR or show that Flex caused module adoption.</t>
  </si>
  <si>
    <t>Compare Flex and non-Flex cohorts if available.</t>
  </si>
  <si>
    <t>XL-03</t>
  </si>
  <si>
    <t>Large-enterprise footprint</t>
  </si>
  <si>
    <t>REF-E-O01; REF-E-O03; REF-E-O04</t>
  </si>
  <si>
    <t>Context bridge</t>
  </si>
  <si>
    <t>Select indexed enterprise cohorts exceed overall Net Score, while Large Organizations are below overall; enterprise strength is selective.</t>
  </si>
  <si>
    <t>Does not establish enterprise revenue contribution; cohort N is Source Needed.</t>
  </si>
  <si>
    <t>Select a reported large-customer KPI or mark Source Needed.</t>
  </si>
  <si>
    <t>XL-04</t>
  </si>
  <si>
    <t>AI security / Charlotte AI</t>
  </si>
  <si>
    <t>ETR JUL26 report: Charlotte AI traction</t>
  </si>
  <si>
    <t>REF-INT-03; REF-E-P04</t>
  </si>
  <si>
    <t>Parallel emerging evidence</t>
  </si>
  <si>
    <t>ETR product-adoption evidence and company commentary both point to rising Charlotte/AIDR activity.</t>
  </si>
  <si>
    <t>Absolute AIDR/Charlotte ARR base and incremental budget source remain unspecified.</t>
  </si>
  <si>
    <t>Retrieve absolute product KPI and distinguish new budget from reallocation.</t>
  </si>
  <si>
    <t>XL-05</t>
  </si>
  <si>
    <t>SIEM expansion / displacement</t>
  </si>
  <si>
    <t>ETR master package PP-013 and current evidence review</t>
  </si>
  <si>
    <t>REF-E-P02; REF-E-C01</t>
  </si>
  <si>
    <t>Support plus contradiction</t>
  </si>
  <si>
    <t>Company-reported SIEM ARR growth and named displacement commentary sit alongside older negative qualitative scope evidence in the ETR package.</t>
  </si>
  <si>
    <t>A single older interview cannot establish current market position; management-stated displacement needs corroboration.</t>
  </si>
  <si>
    <t>Use current shared-account or displacement evidence.</t>
  </si>
  <si>
    <t>XL-06</t>
  </si>
  <si>
    <t>Post-outage resilience</t>
  </si>
  <si>
    <t>ETR-CUR-001; ETR-CUR-002; ETR-CUR-004</t>
  </si>
  <si>
    <t>REF-E-F04; REF-E-O05; REF-INTP-01</t>
  </si>
  <si>
    <t>Recovery hypothesis</t>
  </si>
  <si>
    <t>Current ETR demand metrics improve while company evidence reports stronger net-new ARR; retention evidence in Reflexivity remains incomplete.</t>
  </si>
  <si>
    <t>Does not establish full normalization, churn quality, or the effect of customer commitment packages.</t>
  </si>
  <si>
    <t>Resolve exact retention and CCP-lapsing evidence.</t>
  </si>
  <si>
    <t>XL-07</t>
  </si>
  <si>
    <t>Geographic demand divergence</t>
  </si>
  <si>
    <t>Company geographic revenue KPI Source Needed</t>
  </si>
  <si>
    <t>October regional Net Scores vary materially across the supplied cuts.</t>
  </si>
  <si>
    <t>Does not prove regional revenue outcomes or causal drivers.</t>
  </si>
  <si>
    <t>Obtain cut Ns, map geographies, and compare later company disclosures.</t>
  </si>
  <si>
    <t>Charlotte AI Adoption &amp; Value</t>
  </si>
  <si>
    <t>AI Product Series introduces direct CrowdStrike Charlotte AI adoption, value, usage and willingness-to-pay evidence across Jul-2025, Jan-2026 and Jul-2026.</t>
  </si>
  <si>
    <t>Direct ETR product-level evidence</t>
  </si>
  <si>
    <t>Commercial impact not proven</t>
  </si>
  <si>
    <t>EV-003;EV-004;EV-005;EV-006</t>
  </si>
  <si>
    <t>Review</t>
  </si>
  <si>
    <t>SIG-13</t>
  </si>
  <si>
    <t>AI Security Momentum</t>
  </si>
  <si>
    <t>Charlotte AI and AI-security evidence suggest emerging AI-security demand vector.</t>
  </si>
  <si>
    <t>Supporting evidence only</t>
  </si>
  <si>
    <t>Need ARR linkage</t>
  </si>
  <si>
    <t>EV-003;EV-004</t>
  </si>
  <si>
    <t>Lineage is recorded after a signal candidate exists. The analyst selects evidence in Signal Builder; this register stores the normalized Evidence → Signal relationship for traceability.</t>
  </si>
  <si>
    <t>WHEN AND HOW THIS TAB IS FILLED</t>
  </si>
  <si>
    <t>1</t>
  </si>
  <si>
    <t>Evidence is approved</t>
  </si>
  <si>
    <t>The Evidence Library assigns or preserves the EV-ID. No signal relationship is required yet.</t>
  </si>
  <si>
    <t>2</t>
  </si>
  <si>
    <t>A signal candidate is drafted</t>
  </si>
  <si>
    <t>In Signal Builder, write the signal statement and select supporting and counter-evidence IDs.</t>
  </si>
  <si>
    <t>3</t>
  </si>
  <si>
    <t>Relationships are normalized here</t>
  </si>
  <si>
    <t>Create one row for each Evidence ID → Signal ID link. Choose Supporting, Contradicting, or Contextualizing.</t>
  </si>
  <si>
    <t>4</t>
  </si>
  <si>
    <t>A reviewer checks the link</t>
  </si>
  <si>
    <t>Confirm the relationship is defensible, update review status, and record owner/notes.</t>
  </si>
  <si>
    <t>5</t>
  </si>
  <si>
    <t>Downstream work uses the lineage</t>
  </si>
  <si>
    <t>KPI Bridge and outputs can trace every signal back to its evidence and caveats.</t>
  </si>
  <si>
    <t>Lineage ID</t>
  </si>
  <si>
    <t>Evidence ID</t>
  </si>
  <si>
    <t>Evidence Type</t>
  </si>
  <si>
    <t>Related Evidence IDs</t>
  </si>
  <si>
    <t>Related KPI IDs</t>
  </si>
  <si>
    <t>Notes</t>
  </si>
  <si>
    <t>Review Status</t>
  </si>
  <si>
    <t>Migrated From</t>
  </si>
  <si>
    <t>RL-0001</t>
  </si>
  <si>
    <t>Supporting</t>
  </si>
  <si>
    <t>NS-002; NS-003</t>
  </si>
  <si>
    <t>Pre-outage baseline for Net Score recovery measurement</t>
  </si>
  <si>
    <t>Migrated — Review</t>
  </si>
  <si>
    <t>_Legacy Research Lineage</t>
  </si>
  <si>
    <t>RL-0002</t>
  </si>
  <si>
    <t>RL-0003</t>
  </si>
  <si>
    <t>NS-001; OI-001; OI-002</t>
  </si>
  <si>
    <t>Post-outage trough measurement</t>
  </si>
  <si>
    <t>RL-0004</t>
  </si>
  <si>
    <t>RL-0005</t>
  </si>
  <si>
    <t>Historical peak reference</t>
  </si>
  <si>
    <t>RL-0006</t>
  </si>
  <si>
    <t>Pre-outage confirmed elevation</t>
  </si>
  <si>
    <t>RL-0007</t>
  </si>
  <si>
    <t>Granular Net Score decomposition</t>
  </si>
  <si>
    <t>RL-0008</t>
  </si>
  <si>
    <t>RL-0009</t>
  </si>
  <si>
    <t>EPP-specific Net Score</t>
  </si>
  <si>
    <t>RL-0010</t>
  </si>
  <si>
    <t>NS-001; NS-002; NS-005</t>
  </si>
  <si>
    <t>Trajectory interpretation</t>
  </si>
  <si>
    <t>RL-0011</t>
  </si>
  <si>
    <t>Pervasion rank baseline</t>
  </si>
  <si>
    <t>RL-0012</t>
  </si>
  <si>
    <t>OI-001</t>
  </si>
  <si>
    <t>Post-outage Pervasion recovery</t>
  </si>
  <si>
    <t>RL-0013</t>
  </si>
  <si>
    <t>Pervasion milestone</t>
  </si>
  <si>
    <t>RL-0014</t>
  </si>
  <si>
    <t>Open Question</t>
  </si>
  <si>
    <t>Current Pervasion unknown</t>
  </si>
  <si>
    <t>RL-0015</t>
  </si>
  <si>
    <t>Increase spend rate</t>
  </si>
  <si>
    <t>RL-0016</t>
  </si>
  <si>
    <t>DBNR measurement</t>
  </si>
  <si>
    <t>RL-0017</t>
  </si>
  <si>
    <t>DBNR trough measurement</t>
  </si>
  <si>
    <t>RL-0018</t>
  </si>
  <si>
    <t>Post-outage retention</t>
  </si>
  <si>
    <t>RL-0019</t>
  </si>
  <si>
    <t>Sustained retention</t>
  </si>
  <si>
    <t>RL-0020</t>
  </si>
  <si>
    <t>G2000 Net Score premium</t>
  </si>
  <si>
    <t>RL-0021</t>
  </si>
  <si>
    <t>G2000 Pervasion trend</t>
  </si>
  <si>
    <t>RL-0022</t>
  </si>
  <si>
    <t>Flash survey sample composition</t>
  </si>
  <si>
    <t>RL-0023</t>
  </si>
  <si>
    <t>RL-0024</t>
  </si>
  <si>
    <t>Cultural/talent signal</t>
  </si>
  <si>
    <t>RL-0025</t>
  </si>
  <si>
    <t>Observatory sample composition</t>
  </si>
  <si>
    <t>RL-0026</t>
  </si>
  <si>
    <t>Shared accounts cross-vendor overlap</t>
  </si>
  <si>
    <t>RL-0027</t>
  </si>
  <si>
    <t>SIG-006</t>
  </si>
  <si>
    <t>RL-0028</t>
  </si>
  <si>
    <t>Updated shared accounts needed</t>
  </si>
  <si>
    <t>RL-0029</t>
  </si>
  <si>
    <t>PANW competitive weakness</t>
  </si>
  <si>
    <t>RL-0030</t>
  </si>
  <si>
    <t>PANW positioning assessment</t>
  </si>
  <si>
    <t>RL-0031</t>
  </si>
  <si>
    <t>Market structure interpretation</t>
  </si>
  <si>
    <t>RL-0032</t>
  </si>
  <si>
    <t>Microsoft competitive threat post-outage</t>
  </si>
  <si>
    <t>RL-0033</t>
  </si>
  <si>
    <t>Microsoft E5 value proposition</t>
  </si>
  <si>
    <t>RL-0034</t>
  </si>
  <si>
    <t>Microsoft EPP standing</t>
  </si>
  <si>
    <t>RL-0035</t>
  </si>
  <si>
    <t>SentinelOne Net Score gap</t>
  </si>
  <si>
    <t>RL-0036</t>
  </si>
  <si>
    <t>SentinelOne Pervasion gap</t>
  </si>
  <si>
    <t>RL-0037</t>
  </si>
  <si>
    <t>SentinelOne advancing status</t>
  </si>
  <si>
    <t>RL-0038</t>
  </si>
  <si>
    <t>Zscaler competitive benchmark</t>
  </si>
  <si>
    <t>RL-0039</t>
  </si>
  <si>
    <t>Zscaler momentum benchmark</t>
  </si>
  <si>
    <t>RL-0040</t>
  </si>
  <si>
    <t>Private competitor positioning</t>
  </si>
  <si>
    <t>RL-0041</t>
  </si>
  <si>
    <t>Module adoption latest</t>
  </si>
  <si>
    <t>RL-0042</t>
  </si>
  <si>
    <t>Module adoption trajectory</t>
  </si>
  <si>
    <t>RL-0043</t>
  </si>
  <si>
    <t>PP-004; PP-005</t>
  </si>
  <si>
    <t>Flex ARR latest</t>
  </si>
  <si>
    <t>RL-0044</t>
  </si>
  <si>
    <t>Flex ARR trajectory</t>
  </si>
  <si>
    <t>RL-0045</t>
  </si>
  <si>
    <t>Flex economics</t>
  </si>
  <si>
    <t>RL-0046</t>
  </si>
  <si>
    <t>EPP Observatory leadership</t>
  </si>
  <si>
    <t>RL-0047</t>
  </si>
  <si>
    <t>RL-0048</t>
  </si>
  <si>
    <t>Cloud perception weakness</t>
  </si>
  <si>
    <t>RL-0049</t>
  </si>
  <si>
    <t>RL-0050</t>
  </si>
  <si>
    <t>Identity product launch</t>
  </si>
  <si>
    <t>RL-0051</t>
  </si>
  <si>
    <t>RL-0052</t>
  </si>
  <si>
    <t>SIEM competitive wins</t>
  </si>
  <si>
    <t>RL-0053</t>
  </si>
  <si>
    <t>SIEM qualitative concern</t>
  </si>
  <si>
    <t>RL-0054</t>
  </si>
  <si>
    <t>AIDR growth</t>
  </si>
  <si>
    <t>RL-0055</t>
  </si>
  <si>
    <t>AIDR product launches</t>
  </si>
  <si>
    <t>RL-0056</t>
  </si>
  <si>
    <t>Mythos demand catalyst</t>
  </si>
  <si>
    <t>RL-0057</t>
  </si>
  <si>
    <t>NS-003; NS-004</t>
  </si>
  <si>
    <t>Pre-outage positive outlook</t>
  </si>
  <si>
    <t>RL-0058</t>
  </si>
  <si>
    <t>OI-001; OI-002; NS-002</t>
  </si>
  <si>
    <t>Negative inflection signal</t>
  </si>
  <si>
    <t>RL-0059</t>
  </si>
  <si>
    <t>RL-0060</t>
  </si>
  <si>
    <t>NS-002; SI-002; PP-003</t>
  </si>
  <si>
    <t>Recovery assessment</t>
  </si>
  <si>
    <t>RL-0061</t>
  </si>
  <si>
    <t>Current outlook unknown</t>
  </si>
  <si>
    <t>RL-0062</t>
  </si>
  <si>
    <t>OI-001; OI-002</t>
  </si>
  <si>
    <t>CCP financial impact</t>
  </si>
  <si>
    <t>RL-0063</t>
  </si>
  <si>
    <t>CE-001</t>
  </si>
  <si>
    <t>RISK</t>
  </si>
  <si>
    <t>Contradicting</t>
  </si>
  <si>
    <t>Outage severity peak</t>
  </si>
  <si>
    <t>RL-0064</t>
  </si>
  <si>
    <t>RL-0065</t>
  </si>
  <si>
    <t>CE-002</t>
  </si>
  <si>
    <t>Residual replacement intent</t>
  </si>
  <si>
    <t>RL-0066</t>
  </si>
  <si>
    <t>RL-0067</t>
  </si>
  <si>
    <t>CE-003</t>
  </si>
  <si>
    <t>Microsoft competitive gains</t>
  </si>
  <si>
    <t>RL-0068</t>
  </si>
  <si>
    <t>CE-004</t>
  </si>
  <si>
    <t>Cloud perception gap</t>
  </si>
  <si>
    <t>RL-0069</t>
  </si>
  <si>
    <t>CE-005</t>
  </si>
  <si>
    <t>SIEM scope concern</t>
  </si>
  <si>
    <t>RL-0070</t>
  </si>
  <si>
    <t>Pricing pressure</t>
  </si>
  <si>
    <t>RL-0071</t>
  </si>
  <si>
    <t>RL-0072</t>
  </si>
  <si>
    <t>Valuation risk</t>
  </si>
  <si>
    <t>RL-0073</t>
  </si>
  <si>
    <t>RL-0074</t>
  </si>
  <si>
    <t>CE-008</t>
  </si>
  <si>
    <t>Blast radius risk</t>
  </si>
  <si>
    <t>RL-0075</t>
  </si>
  <si>
    <t>RL-0076</t>
  </si>
  <si>
    <t>GAAP vs Non-GAAP disconnect</t>
  </si>
  <si>
    <t>RL-0077</t>
  </si>
  <si>
    <t>CE-010</t>
  </si>
  <si>
    <t>FY2026 guidance miss</t>
  </si>
  <si>
    <t>RL-0078</t>
  </si>
  <si>
    <t>ETR-OCT26-ZS; ETR-OCT26-PV</t>
  </si>
  <si>
    <t>KPI-003; KPI-005</t>
  </si>
  <si>
    <t>Primary OCT26 demand evidence</t>
  </si>
  <si>
    <t>RL-0079</t>
  </si>
  <si>
    <t>RL-0080</t>
  </si>
  <si>
    <t>KPI-009</t>
  </si>
  <si>
    <t>Primary OCT26 breadth evidence</t>
  </si>
  <si>
    <t>RL-0081</t>
  </si>
  <si>
    <t>RL-0082</t>
  </si>
  <si>
    <t>KPI-001; KPI-003</t>
  </si>
  <si>
    <t>Actual positive Q/Q/Y/Y Z-Scores; strength bands unresolved</t>
  </si>
  <si>
    <t>RL-0083</t>
  </si>
  <si>
    <t>RL-0084</t>
  </si>
  <si>
    <t>ETR-OCT26-F500; ETR-OCT26-LARGE</t>
  </si>
  <si>
    <t>KPI-006; KPI-009</t>
  </si>
  <si>
    <t>Select enterprise cohort premium</t>
  </si>
  <si>
    <t>RL-0085</t>
  </si>
  <si>
    <t>KPI-001</t>
  </si>
  <si>
    <t>Regional divergence; N and KPI mapping needed</t>
  </si>
  <si>
    <t>RL-0086</t>
  </si>
  <si>
    <t>Adoption reasons; not causal explanation</t>
  </si>
  <si>
    <t>Draft</t>
  </si>
  <si>
    <t>RL-V5-001</t>
  </si>
  <si>
    <t>Corrected TSIS recovery series</t>
  </si>
  <si>
    <t>V5</t>
  </si>
  <si>
    <t>RL-V5-002</t>
  </si>
  <si>
    <t>Charlotte adoption evidence</t>
  </si>
  <si>
    <t>RL-V5-003</t>
  </si>
  <si>
    <t>Charlotte value evidence</t>
  </si>
  <si>
    <t>RL-V5-004</t>
  </si>
  <si>
    <t>Charlotte WTP evidence</t>
  </si>
  <si>
    <t>RL-V5-005</t>
  </si>
  <si>
    <t>Charlotte usage impact evidence</t>
  </si>
  <si>
    <t>Signal → KPI Bridge</t>
  </si>
  <si>
    <t>Every bridge is a hypothesis until validated. Review the economic mechanism, lag, confounders, and source needs.</t>
  </si>
  <si>
    <t>KPI ID</t>
  </si>
  <si>
    <t>Linkage Type</t>
  </si>
  <si>
    <t>Economic Mechanism</t>
  </si>
  <si>
    <t>Required Time Lag</t>
  </si>
  <si>
    <t>Lag Supported</t>
  </si>
  <si>
    <t>Known Confounders</t>
  </si>
  <si>
    <t>Review Decision</t>
  </si>
  <si>
    <t>Platform Consolidation via Falcon Flex</t>
  </si>
  <si>
    <t>KPI-002</t>
  </si>
  <si>
    <t>Ending ARR Growth</t>
  </si>
  <si>
    <t>Hypothesized</t>
  </si>
  <si>
    <t>Flex deals lock in multi-module commitments at higher contract values</t>
  </si>
  <si>
    <t>Immediate (Flex); avg 7 months (re-Flex)</t>
  </si>
  <si>
    <t>Partial</t>
  </si>
  <si>
    <t>CCP lapsing; Flex front-loading; reclassification</t>
  </si>
  <si>
    <t>OQ-007; NNA decomposition</t>
  </si>
  <si>
    <t>KPI-003</t>
  </si>
  <si>
    <t>Net New ARR</t>
  </si>
  <si>
    <t>Flex generates larger initial commitments and re-Flex adds incremental ARR</t>
  </si>
  <si>
    <t>Not Established</t>
  </si>
  <si>
    <t>No</t>
  </si>
  <si>
    <t>Flex cannibalization of standard subs; seasonal timing; CCP</t>
  </si>
  <si>
    <t>Flex vs non-Flex NNA decomposition</t>
  </si>
  <si>
    <t>KPI-007</t>
  </si>
  <si>
    <t>Flex credit model lowers friction to adopt additional modules</t>
  </si>
  <si>
    <t>Organic product improvement; measurement across all customers</t>
  </si>
  <si>
    <t>Flex-only vs non-Flex module comparison</t>
  </si>
  <si>
    <t>Post-Outage Spending Recovery</t>
  </si>
  <si>
    <t>KPI-005</t>
  </si>
  <si>
    <t>Retention (DBNR + Gross)</t>
  </si>
  <si>
    <t>Spending intent recovery precedes/coincides with retention stabilization</t>
  </si>
  <si>
    <t>6-18 months (renewal cycles)</t>
  </si>
  <si>
    <t>CCP retention mechanism; renewal cycle lag</t>
  </si>
  <si>
    <t>OQ-006; OQ-007</t>
  </si>
  <si>
    <t>KPI-006</t>
  </si>
  <si>
    <t>Customer Count</t>
  </si>
  <si>
    <t>Spending intent recovery correlates with sustained customer count</t>
  </si>
  <si>
    <t>CCP artificial retention; new logo masking churn</t>
  </si>
  <si>
    <t>Customer count time series; new logo vs churn</t>
  </si>
  <si>
    <t>Net New ARR Reacceleration</t>
  </si>
  <si>
    <t>Revenue Growth</t>
  </si>
  <si>
    <t>Net new ARR converts to subscription revenue over contract term</t>
  </si>
  <si>
    <t>1-3 years (ratable recognition)</t>
  </si>
  <si>
    <t>Revenue recognition timing; FX; CCP deferrals</t>
  </si>
  <si>
    <t>OQ-004; RPO data</t>
  </si>
  <si>
    <t>Definitional</t>
  </si>
  <si>
    <t>Net new ARR directly adds to ending ARR by accounting identity</t>
  </si>
  <si>
    <t>Immediate</t>
  </si>
  <si>
    <t>Yes</t>
  </si>
  <si>
    <t>Churn/contraction offsets; Flex reclassification</t>
  </si>
  <si>
    <t>NNA driver decomposition</t>
  </si>
  <si>
    <t>AI Security (Mythos) Demand</t>
  </si>
  <si>
    <t>AIDR creates new budget line items contributing incremental NNA</t>
  </si>
  <si>
    <t>AIDR absolute ARR undisclosed; Flex bundling; attribution</t>
  </si>
  <si>
    <t>AIDR absolute ARR; AIDR NNA contribution</t>
  </si>
  <si>
    <t>AIDR modules expand addressable module count</t>
  </si>
  <si>
    <t>Denominator expansion; Flex friction reduction</t>
  </si>
  <si>
    <t>Module-level adoption (AIDR-specific)</t>
  </si>
  <si>
    <t>Enterprise Cohort Dominance</t>
  </si>
  <si>
    <t>Large-Customer Growth</t>
  </si>
  <si>
    <t>Elevated G2000 spending velocity drives disproportionate ARR from large customers</t>
  </si>
  <si>
    <t>G2000 data vintage (Oct 2023); Flex skew; post-outage behavior</t>
  </si>
  <si>
    <t>OQ-001 (G2000 cut); OQ-008</t>
  </si>
  <si>
    <t>Market Share (Pervasion)</t>
  </si>
  <si>
    <t>Higher enterprise Net Score translates to growing Pervasion</t>
  </si>
  <si>
    <t>Pervasion = presence not dollars; sample changes</t>
  </si>
  <si>
    <t>OQ-003; OQ-011</t>
  </si>
  <si>
    <t>Competitive Moat Resilience</t>
  </si>
  <si>
    <t>Moat integrity maintains retention near pre-outage levels</t>
  </si>
  <si>
    <t>CCP: immediate; Actual churn: 12-24 months</t>
  </si>
  <si>
    <t>CCP masking true churn; renewal cycle lag; MSSP churn excluded</t>
  </si>
  <si>
    <t>Moat resilience enables ARR re-acceleration as headwinds fade</t>
  </si>
  <si>
    <t>Flex scaling; Mythos demand; CCP lapsing — multiple concurrent factors</t>
  </si>
  <si>
    <t>ARR growth driver decomposition</t>
  </si>
  <si>
    <t>Recovered intent and broader Pervasion may precede or coincide with contracted commitments</t>
  </si>
  <si>
    <t>Falcon Flex; CCP; renewals; new logos; expansion; period alignment</t>
  </si>
  <si>
    <t>Historical OCT survey vintages; approved Z bands; lag; Net New ARR decomposition</t>
  </si>
  <si>
    <t>Geographic Revenue Growth</t>
  </si>
  <si>
    <t>Regional demand differences may relate to later geographic revenue patterns</t>
  </si>
  <si>
    <t>Different survey/commercial geographies; FX; segment mix</t>
  </si>
  <si>
    <t>Regional N; exact company geographic revenue; mapping; lag</t>
  </si>
  <si>
    <t>KPI-V5-01</t>
  </si>
  <si>
    <t>AI Adoption</t>
  </si>
  <si>
    <t>Charlotte AI adoption evidence integrated</t>
  </si>
  <si>
    <t>KPI-V5-02</t>
  </si>
  <si>
    <t>AI Demand</t>
  </si>
  <si>
    <t>AI-security demand vector</t>
  </si>
  <si>
    <t>One place for open questions, risks, source gaps, and review items. Use this to decide what research comes next.</t>
  </si>
  <si>
    <t>Type</t>
  </si>
  <si>
    <t>ID</t>
  </si>
  <si>
    <t>Theme / Signal</t>
  </si>
  <si>
    <t>Issue / Question</t>
  </si>
  <si>
    <t>Priority / Severity</t>
  </si>
  <si>
    <t>Expected Source / Evidence</t>
  </si>
  <si>
    <t>Blocks / Related Objects</t>
  </si>
  <si>
    <t>Notes / Next Action</t>
  </si>
  <si>
    <t>OQ-001</t>
  </si>
  <si>
    <t>Current Net Score</t>
  </si>
  <si>
    <t>Current Net Score resolved at October 2026</t>
  </si>
  <si>
    <t>Resolved</t>
  </si>
  <si>
    <t>Oct 2026 Net Score is 37.14285714; Jul 2026 is historical comparison.</t>
  </si>
  <si>
    <t>OQ-002</t>
  </si>
  <si>
    <t>Current Data Outlook</t>
  </si>
  <si>
    <t>What is the current ETR TSIS Data Outlook for CrowdStrike?</t>
  </si>
  <si>
    <t>Critical</t>
  </si>
  <si>
    <t>Last known: implied Positive pre-outage (Apr 2024) then Negative inflection (Oct 2024). Current unknown</t>
  </si>
  <si>
    <t>OQ-003</t>
  </si>
  <si>
    <t>Current Pervasion</t>
  </si>
  <si>
    <t>Current Pervasion resolved at October 2026</t>
  </si>
  <si>
    <t>Oct 2026 Pervasion is 40.8997955; full Jan24–Oct26 series supplied.</t>
  </si>
  <si>
    <t>OQ-004</t>
  </si>
  <si>
    <t>Forecaster Output</t>
  </si>
  <si>
    <t>What does the ETR Forecaster model project for CrowdStrike revenue/ARR?</t>
  </si>
  <si>
    <t>Forecaster model outputs are subscriber-only; not captured in public search</t>
  </si>
  <si>
    <t>OQ-005</t>
  </si>
  <si>
    <t>Z-Score (ETR)</t>
  </si>
  <si>
    <t>How should actual Survey Z-Scores be banded and operationalized?</t>
  </si>
  <si>
    <t>Actual Q/Q Z 0.129243494 and Y/Y Z 0.892193894, N=420; approved formula/lookback/normalization/threshold guidance remains missing.</t>
  </si>
  <si>
    <t>OQ-006</t>
  </si>
  <si>
    <t>Churn Trajectory</t>
  </si>
  <si>
    <t>Has elevated churn (6% in Apr 2025) returned to pre-outage low single digits?</t>
  </si>
  <si>
    <t>Critical for DBNR recovery thesis; Q2 FY2027 noted increased retention but no exact churn figure</t>
  </si>
  <si>
    <t>OQ-007</t>
  </si>
  <si>
    <t>CCP Lapsing Impact</t>
  </si>
  <si>
    <t>How much revenue uplift will CrowdStrike realize as CCP discounts lapse?</t>
  </si>
  <si>
    <t>CCP was ~$30M/quarter headwind; lapsing converts to tailwind. Timing and magnitude unclear</t>
  </si>
  <si>
    <t>OQ-008</t>
  </si>
  <si>
    <t>Updated Shared Accounts</t>
  </si>
  <si>
    <t>What does most recent shared accounts analysis show for CrowdStrike vs key competitors?</t>
  </si>
  <si>
    <t>Last available data is JAN23; need updated cross-vendor spending patterns</t>
  </si>
  <si>
    <t>OQ-009</t>
  </si>
  <si>
    <t>Blast Radius Risk</t>
  </si>
  <si>
    <t>How are customers addressing blast-radius risk from Falcon consolidation?</t>
  </si>
  <si>
    <t>theCUBE flagged that as more functions consolidate the risk domain grows. Governance responses unknown</t>
  </si>
  <si>
    <t>OQ-010</t>
  </si>
  <si>
    <t>From which specific legacy SIEM vendors is CrowdStrike taking share?</t>
  </si>
  <si>
    <t>Triple-digit SIEM ARR growth implies displacement but specific vendor losses not quantified</t>
  </si>
  <si>
    <t>OQ-011</t>
  </si>
  <si>
    <t>Did CrowdStrike maintain leading spending Net Score in Endpoint market post-outage?</t>
  </si>
  <si>
    <t>ETR posed this exact question in their 2025 Observatory promo</t>
  </si>
  <si>
    <t>OQ-012</t>
  </si>
  <si>
    <t>AIDR TAM Validation</t>
  </si>
  <si>
    <t>Is $149B TAM (CY2026) to $325B (CY2030) from CrowdStrike investor deck supportable?</t>
  </si>
  <si>
    <t>Company-provided TAM figures require independent validation</t>
  </si>
  <si>
    <t>OQ-013</t>
  </si>
  <si>
    <t>International Split</t>
  </si>
  <si>
    <t>How fast is international ARR growing relative to US?</t>
  </si>
  <si>
    <t>Q2 FY2027: 65% US / 35% international; share ticking up. Trend rate unknown</t>
  </si>
  <si>
    <t>OQ-014</t>
  </si>
  <si>
    <t>Subsample confidence</t>
  </si>
  <si>
    <t>What are the citation Ns for the October cohort and regional cuts?</t>
  </si>
  <si>
    <t>Attached subsample files provide values but not N for each cut.</t>
  </si>
  <si>
    <t>OQ-015</t>
  </si>
  <si>
    <t>Period label</t>
  </si>
  <si>
    <t>Why do October 2026 data files have September 10, 2026 export timestamps?</t>
  </si>
  <si>
    <t>Preserve the source survey labels and export timestamps separately; confirm fielding/publication calendar.</t>
  </si>
  <si>
    <t>Risk</t>
  </si>
  <si>
    <t>Outage Reputational Overhang</t>
  </si>
  <si>
    <t>July 2024 Outage — 96% of Customers Impacted</t>
  </si>
  <si>
    <t>ETR Flash Survey</t>
  </si>
  <si>
    <t>Peak negativity snapshot; sentiment subsequently improved</t>
  </si>
  <si>
    <t>Replacement Intent</t>
  </si>
  <si>
    <t>10% Firm Replacement Plans (Apr 2025)</t>
  </si>
  <si>
    <t>~34% still considering or planning replacement is material</t>
  </si>
  <si>
    <t>Microsoft Defender Now Viable and Preferable for Many</t>
  </si>
  <si>
    <t>E5 bundle economics compelling for Microsoft-first organizations</t>
  </si>
  <si>
    <t>Cloud Perception Gap</t>
  </si>
  <si>
    <t>CrowdStrike Notably Lags in Cloud per ETR Panel</t>
  </si>
  <si>
    <t>Growth metric vs perceived depth/maturity gap</t>
  </si>
  <si>
    <t>SIEM Scope Concerns</t>
  </si>
  <si>
    <t>CrowdStrike Humio Too Narrow for Enterprise</t>
  </si>
  <si>
    <t>Nov 2024 vintage; may not reflect current LogScale state</t>
  </si>
  <si>
    <t>Pricing Pressure</t>
  </si>
  <si>
    <t>CrowdStrike Most Expensive at $19.99/device/month</t>
  </si>
  <si>
    <t>Premium pricing may limit price-sensitive segments</t>
  </si>
  <si>
    <t>Valuation Risk</t>
  </si>
  <si>
    <t>CrowdStrike Trading at 33.8x Forward P/S</t>
  </si>
  <si>
    <t>Valuation skepticism is known debate point</t>
  </si>
  <si>
    <t>Platform Consolidation Increases Blast Radius</t>
  </si>
  <si>
    <t>July 2024 outage was proof-of-concept for this risk</t>
  </si>
  <si>
    <t>Non-GAAP vs GAAP Disconnect</t>
  </si>
  <si>
    <t>Only $5.3M GAAP Net Income vs $322.9M Non-GAAP (Q2 FY2027)</t>
  </si>
  <si>
    <t>CrowdStrike IR + Analysis</t>
  </si>
  <si>
    <t>SBC is real economic cost</t>
  </si>
  <si>
    <t>FY2026 Guidance Miss</t>
  </si>
  <si>
    <t>FY2026 Guidance Disappointed on EPS (Mar 2025)</t>
  </si>
  <si>
    <t>CrowdStrike IR / Reuters</t>
  </si>
  <si>
    <t>Due to AI/R&amp;D/resilience investments; margin to improve ~23% FY2027</t>
  </si>
  <si>
    <t>What is CrowdStrike current Net Score in most recent TSIS (Apr or Jul 2026)?</t>
  </si>
  <si>
    <t>Post-Mythos demand surge likely improved Net Score but exact figure unavailable from public sources</t>
  </si>
  <si>
    <t>ETR TSIS (subscriber-only)</t>
  </si>
  <si>
    <t>October 2026 Net Score supplied; July relabeled historical.</t>
  </si>
  <si>
    <t>Open</t>
  </si>
  <si>
    <t>ETR Viewpoint List</t>
  </si>
  <si>
    <t>Has CrowdStrike Pervasion exceeded pre-outage levels in the latest TSIS?</t>
  </si>
  <si>
    <t>Pervasion dipped post-outage and recovered per Sep 2025 analysis; unknown whether set new highs</t>
  </si>
  <si>
    <t>October 2026 Pervasion and series supplied.</t>
  </si>
  <si>
    <t>ETR Platform</t>
  </si>
  <si>
    <t>What is CrowdStrike ETR-proprietary Z-Score (not Altman)?</t>
  </si>
  <si>
    <t>ETR Z-Score methodology distinct from Altman; platform-only metric</t>
  </si>
  <si>
    <t>Partially Resolved</t>
  </si>
  <si>
    <t>Actual Z values supplied; interpretation bands remain open.</t>
  </si>
  <si>
    <t>ETR TSIS + CRWD Earnings</t>
  </si>
  <si>
    <t>CrowdStrike guidance</t>
  </si>
  <si>
    <t>theCUBE Research / ETR Insights</t>
  </si>
  <si>
    <t>ETR shared accounts / competitive</t>
  </si>
  <si>
    <t>ETR 2025 Endpoint Observatory (subscriber)</t>
  </si>
  <si>
    <t>CrowdStrike investor deck</t>
  </si>
  <si>
    <t>CrowdStrike earnings</t>
  </si>
  <si>
    <t>Evidence Review</t>
  </si>
  <si>
    <t>Net Score Recovery Trajectory</t>
  </si>
  <si>
    <t>Breaking Analysis #291</t>
  </si>
  <si>
    <t>Current Pervasion Level Post-Recovery</t>
  </si>
  <si>
    <t>Updated Shared Accounts Data</t>
  </si>
  <si>
    <t>CrowdStrike Humio Scope Too Narrow per Enterprise User</t>
  </si>
  <si>
    <t>ETR Insights #415</t>
  </si>
  <si>
    <t>Current ETR TSIS Data Outlook for CrowdStrike</t>
  </si>
  <si>
    <t>Reflexivity Review</t>
  </si>
  <si>
    <t>AIDR emerging as large TAM</t>
  </si>
  <si>
    <t>S&amp;M leverage</t>
  </si>
  <si>
    <t>GAAP profitability (annual)</t>
  </si>
  <si>
    <t>Total customer base</t>
  </si>
  <si>
    <t>Retention rates</t>
  </si>
  <si>
    <t>AIDR &amp; Charlotte AI ramp</t>
  </si>
  <si>
    <t>Endpoint ARR streak</t>
  </si>
  <si>
    <t>October subsample Ns</t>
  </si>
  <si>
    <t>Values supplied without cut-level Ns</t>
  </si>
  <si>
    <t>ETR base/query export</t>
  </si>
  <si>
    <t>Required before high-confidence subsample narrative</t>
  </si>
  <si>
    <t>October label / export timestamp</t>
  </si>
  <si>
    <t>Survey labels say Oct 2026; export filenames are dated Sep 10, 2026</t>
  </si>
  <si>
    <t>ETR survey calendar / platform metadata</t>
  </si>
  <si>
    <t>Preserve both labels until confirmed</t>
  </si>
  <si>
    <t>RQ-V5-01</t>
  </si>
  <si>
    <t>Extract August 2026 CrowdStrike Edge content</t>
  </si>
  <si>
    <t>RQ-V5-02</t>
  </si>
  <si>
    <t>TSIS Conflict</t>
  </si>
  <si>
    <t>Resolve Oct 2026 snapshot conflict (37.14 vs 38.05)</t>
  </si>
  <si>
    <t>Rules &amp; Methodology</t>
  </si>
  <si>
    <t>Human-maintained interpretation standards. This is the first structured take at explaining how analysts use metrics, language, confidence, and external research. It guides machines; it does not replace research judgment.</t>
  </si>
  <si>
    <t>Interpretation rules</t>
  </si>
  <si>
    <t>Rule ID</t>
  </si>
  <si>
    <t>Rule Family</t>
  </si>
  <si>
    <t>Rule Name</t>
  </si>
  <si>
    <t>Rule Status</t>
  </si>
  <si>
    <t>Enforcement</t>
  </si>
  <si>
    <t>Trigger Condition</t>
  </si>
  <si>
    <t>Required Context / Inputs</t>
  </si>
  <si>
    <t>Permitted Interpretation / Action</t>
  </si>
  <si>
    <t>Prohibited Interpretation / Action</t>
  </si>
  <si>
    <t>Confidence Gate</t>
  </si>
  <si>
    <t>External Research Treatment</t>
  </si>
  <si>
    <t>Required Caveat</t>
  </si>
  <si>
    <t>Validation Method</t>
  </si>
  <si>
    <t>Supporting Methodology Source</t>
  </si>
  <si>
    <t>Version</t>
  </si>
  <si>
    <t>R-001</t>
  </si>
  <si>
    <t>Entity Resolution</t>
  </si>
  <si>
    <t>Resolve dataset-specific entity before metric retrieval</t>
  </si>
  <si>
    <t>Canonical</t>
  </si>
  <si>
    <t>Hard block</t>
  </si>
  <si>
    <t>Any ETR metric request</t>
  </si>
  <si>
    <t>Dataset; entity ID; aggregation level</t>
  </si>
  <si>
    <t>Use the entity ID and level native to the selected dataset.</t>
  </si>
  <si>
    <t>Reuse an ID from another ETR dataset or assume company/product/sector level.</t>
  </si>
  <si>
    <t>If unresolved, stop and label Source Needed.</t>
  </si>
  <si>
    <t>External research may identify the company, but cannot substitute for ETR entity resolution.</t>
  </si>
  <si>
    <t>Separate ETR datasets have separate ID spaces.</t>
  </si>
  <si>
    <t>Operational QA: zero cross-dataset ID errors.</t>
  </si>
  <si>
    <t>ETR_MCP_Skill_System_Report.pdf; ETR-MCP-GTM-Package.docx</t>
  </si>
  <si>
    <t>v0.1</t>
  </si>
  <si>
    <t>R-002</t>
  </si>
  <si>
    <t>Temporal Context</t>
  </si>
  <si>
    <t>Current means the most recent resolved survey</t>
  </si>
  <si>
    <t>Use of current/latest language</t>
  </si>
  <si>
    <t>Resolved survey list; dataset cadence; period label</t>
  </si>
  <si>
    <t>Use the latest resolved survey in the supplied source package. For CrowdStrike V3.5, October 2026 is current; July 2026 is historical context.</t>
  </si>
  <si>
    <t>Assume current from document date or use a generic as-of-now label.</t>
  </si>
  <si>
    <t>If live period cannot be resolved, Source Needed.</t>
  </si>
  <si>
    <t>External reporting dates remain separate from survey labels.</t>
  </si>
  <si>
    <t>Do not continue to present JUL26 as current when OCT26 source files are available.</t>
  </si>
  <si>
    <t>QA period labels against live survey list.</t>
  </si>
  <si>
    <t>v0.2</t>
  </si>
  <si>
    <t>R-003</t>
  </si>
  <si>
    <t>Use survey-appropriate comparison frame</t>
  </si>
  <si>
    <t>Any period comparison</t>
  </si>
  <si>
    <t>Survey month; question frame; exact comparison period; current-versus-historical status</t>
  </si>
  <si>
    <t>Use S/S for consecutive surveys and Y/Y for the same survey period, subject to TSIS release rules.</t>
  </si>
  <si>
    <t>Treat JUL/OCT H2-vs-H1 framing as generic Y/Y or invent a comparison.</t>
  </si>
  <si>
    <t>Missing question frame lowers confidence and blocks interpretation.</t>
  </si>
  <si>
    <t>Company QoQ/YoY metrics must not be silently aligned to ETR periods.</t>
  </si>
  <si>
    <t>Period alignment is required before Signal→KPI testing.</t>
  </si>
  <si>
    <t>Backtest using correctly aligned survey/company periods.</t>
  </si>
  <si>
    <t>R-004</t>
  </si>
  <si>
    <t>Net Score determines directional spend-intent signal</t>
  </si>
  <si>
    <t>Required field</t>
  </si>
  <si>
    <t>Net Score observation</t>
  </si>
  <si>
    <t>Level; change; period; N; intent-bucket composition</t>
  </si>
  <si>
    <t>Describe expanding/contracting intent only after period and N are present.</t>
  </si>
  <si>
    <t>Use Net Score alone as proof of revenue, ARR, or market share.</t>
  </si>
  <si>
    <t>Confidence is separate from direction.</t>
  </si>
  <si>
    <t>External KPI can corroborate or contradict; it does not redefine Net Score.</t>
  </si>
  <si>
    <t>Directional intent is not a forecast of company results.</t>
  </si>
  <si>
    <t>Historical backtest versus selected KPI outcomes.</t>
  </si>
  <si>
    <t>ETR Analysis.docx; ETR_MCP_Skill_System_Report.pdf</t>
  </si>
  <si>
    <t>R-005</t>
  </si>
  <si>
    <t>Net Score movement terminology</t>
  </si>
  <si>
    <t>Language constraint</t>
  </si>
  <si>
    <t>Absolute Net Score change</t>
  </si>
  <si>
    <t>Same metric and comparable periods</t>
  </si>
  <si>
    <t>About ±2 points: relatively flat; 3–4 points: slight move; 5+ points: stated change.</t>
  </si>
  <si>
    <t>Call these bands statistically significant.</t>
  </si>
  <si>
    <t>Always include N and period.</t>
  </si>
  <si>
    <t>External evidence does not change the descriptive band.</t>
  </si>
  <si>
    <t>These are wording conventions, not inferential-statistics thresholds.</t>
  </si>
  <si>
    <t>Editorial QA across generated outputs.</t>
  </si>
  <si>
    <t>ETR_MCP_Skill_System_Report.pdf</t>
  </si>
  <si>
    <t>R-006</t>
  </si>
  <si>
    <t>Z-Score modifies unusualness, not direction</t>
  </si>
  <si>
    <t>Z-Score is available with a directional base metric</t>
  </si>
  <si>
    <t>Underlying metric; Q/Q and Y/Y changes; Q/Q and Y/Y Z-Scores; N; method specification for bands</t>
  </si>
  <si>
    <t>Report Q/Q Z-Score 0.129 and Y/Y Z-Score 0.892; state both are positive and Y/Y is higher. The base metric determines direction; Z-Score supplies unusualness/deviation context.</t>
  </si>
  <si>
    <t>Let Z-Score alone create a Positive/Negative vendor call.</t>
  </si>
  <si>
    <t>Raw values are available. Threshold-based strength remains unrated until the method specification is approved.</t>
  </si>
  <si>
    <t>External KPI evidence tests relevance or later validation, not the meaning of Z-Score.</t>
  </si>
  <si>
    <t>Do not call the values statistically significant, extreme, strong, or predictive without approved bands and methodology.</t>
  </si>
  <si>
    <t>Backtest anomaly readings against later KPI deltas and analyst calls.</t>
  </si>
  <si>
    <t>ETR Analysis.docx; ETR Engagement — July 23 Weekly Operating Deck.pptx</t>
  </si>
  <si>
    <t>v0.3</t>
  </si>
  <si>
    <t>R-007</t>
  </si>
  <si>
    <t>No production threshold until Z-Score specification is documented</t>
  </si>
  <si>
    <t>Any attempt to apply a numeric Z-Score strength or significance band</t>
  </si>
  <si>
    <t>Formula; normalization population; lookback; sign; level-vs-change definition</t>
  </si>
  <si>
    <t>Display the actual raw score and direction; mark band interpretation Source Needed.</t>
  </si>
  <si>
    <t>Invent ±1/±2 bands or call a value statistically significant.</t>
  </si>
  <si>
    <t>No threshold-based confidence is allowed.</t>
  </si>
  <si>
    <t>External research cannot fill a missing proprietary formula.</t>
  </si>
  <si>
    <t>The value gap is resolved; the formula/lookback/normalization/threshold gap remains.</t>
  </si>
  <si>
    <t>Specification review and historical calibration.</t>
  </si>
  <si>
    <t>R-008</t>
  </si>
  <si>
    <t>Pervasion supplies breadth and maturity context</t>
  </si>
  <si>
    <t>Pervasion used in a signal</t>
  </si>
  <si>
    <t>Level; change; Net Score; replacement bucket; N</t>
  </si>
  <si>
    <t>Use Pervasion to distinguish broad footprint from narrow/emerging deployment.</t>
  </si>
  <si>
    <t>Treat high Pervasion as positive momentum or low Pervasion as weak presence without composition.</t>
  </si>
  <si>
    <t>Pair with Net Score and replacing intent.</t>
  </si>
  <si>
    <t>Company customer counts may contextualize scale but are not equivalent to Pervasion.</t>
  </si>
  <si>
    <t>Low Pervasion can reflect either emerging footprint or replacing pressure.</t>
  </si>
  <si>
    <t>Backtest archetypes across historical vendors.</t>
  </si>
  <si>
    <t>R-009</t>
  </si>
  <si>
    <t>Confidence / N</t>
  </si>
  <si>
    <t>Every percentage and Net Score carries N</t>
  </si>
  <si>
    <t>Any ETR percentage/Net Score</t>
  </si>
  <si>
    <t>Underlying citation N</t>
  </si>
  <si>
    <t>Show N with the metric and in output evidence references.</t>
  </si>
  <si>
    <t>Present an isolated percentage or Net Score.</t>
  </si>
  <si>
    <t>No N means Source Needed.</t>
  </si>
  <si>
    <t>External metrics carry their own denominator/unit; do not substitute it for ETR N.</t>
  </si>
  <si>
    <t>In TSIS, N counts citations, not people.</t>
  </si>
  <si>
    <t>Automated output QA.</t>
  </si>
  <si>
    <t>R-010</t>
  </si>
  <si>
    <t>Apply context-specific N floors</t>
  </si>
  <si>
    <t>Review gate</t>
  </si>
  <si>
    <t>Subsample, ranking, APS, or Observatory finding</t>
  </si>
  <si>
    <t>Absolute N; relative N; effect size; use case</t>
  </si>
  <si>
    <t>Exclude TSIS subsamples below N=25 from narrative; use near 100–200 citations for peer rankings; apply documented dataset-specific floors.</t>
  </si>
  <si>
    <t>Treat floors as formal significance tests or blanket truth cutoffs.</t>
  </si>
  <si>
    <t>Use robust/acceptable/thin/very-thin language with matching hedge.</t>
  </si>
  <si>
    <t>External evidence may justify surfacing a contradiction, but thin-N caveat remains.</t>
  </si>
  <si>
    <t>Thresholds guide judgment rather than replace it.</t>
  </si>
  <si>
    <t>QA against citation-threshold skill.</t>
  </si>
  <si>
    <t>R-011</t>
  </si>
  <si>
    <t>Signal strength and confidence remain separate</t>
  </si>
  <si>
    <t>Any signal call</t>
  </si>
  <si>
    <t>Direction; magnitude; N; fit; recency; consistency</t>
  </si>
  <si>
    <t>Show signal assessment separately from evidence confidence.</t>
  </si>
  <si>
    <t>Convert a dramatic move automatically into high confidence.</t>
  </si>
  <si>
    <t>High magnitude with thin N must remain low/thin confidence.</t>
  </si>
  <si>
    <t>External corroboration can improve context, not erase sample limitations.</t>
  </si>
  <si>
    <t>A strong-looking signal may still be unreliable.</t>
  </si>
  <si>
    <t>Analyst calibration and historical review.</t>
  </si>
  <si>
    <t>R-012</t>
  </si>
  <si>
    <t>Interpret the cohort-vs-population gap</t>
  </si>
  <si>
    <t>Shared-accounts analysis</t>
  </si>
  <si>
    <t>Shared Net Score; survey Net Score; shared N; anchor/display vendor</t>
  </si>
  <si>
    <t>Treat the gap as the finding and label anchor/display roles.</t>
  </si>
  <si>
    <t>Report shared Net Score as if it were surveywide or ignore shared N.</t>
  </si>
  <si>
    <t>Thin shared N lowers confidence.</t>
  </si>
  <si>
    <t>External displacement claims can be compared but remain separate evidence.</t>
  </si>
  <si>
    <t>Overlap is not proof of displacement.</t>
  </si>
  <si>
    <t>Backtest overlap patterns against later competitive outcomes.</t>
  </si>
  <si>
    <t>ETR_MCP_Skill_System_Report.pdf; ETR Analysis.docx</t>
  </si>
  <si>
    <t>R-013</t>
  </si>
  <si>
    <t>Qualitative Evidence</t>
  </si>
  <si>
    <t>Qualitative evidence is parallel, not causal</t>
  </si>
  <si>
    <t>Edge/Insights paired with quantitative data</t>
  </si>
  <si>
    <t>Verbatim text; role/context; date; quantitative period</t>
  </si>
  <si>
    <t>Use consistent with, corroborates, or provides context.</t>
  </si>
  <si>
    <t>Use caused, explains, or driven by across separate respondent pools.</t>
  </si>
  <si>
    <t>Absence of a qualitative result is not proof of absence.</t>
  </si>
  <si>
    <t>External quotes receive the same parallel-evidence treatment.</t>
  </si>
  <si>
    <t>Use verbatim sourcing; do not paraphrase as respondent words.</t>
  </si>
  <si>
    <t>Editorial QA across all outputs.</t>
  </si>
  <si>
    <t>R-014</t>
  </si>
  <si>
    <t>External Research Interface</t>
  </si>
  <si>
    <t>Map ETR entity to company economic entity before KPI linkage</t>
  </si>
  <si>
    <t>Any ETR→external KPI bridge</t>
  </si>
  <si>
    <t>Company; product/use case; ETR category; reported segment; KPI definition; period</t>
  </si>
  <si>
    <t>Proceed only when the survey category plausibly maps to the company segment/KPI.</t>
  </si>
  <si>
    <t>Link broad company-level TSIS data to a narrow product KPI without a mapping note.</t>
  </si>
  <si>
    <t>Poor segment fit lowers confidence or blocks proof-case use.</t>
  </si>
  <si>
    <t>External research establishes economic relevance and potential validation target.</t>
  </si>
  <si>
    <t>Taxonomy mismatch is a signal-validity risk.</t>
  </si>
  <si>
    <t>Cross-vendor mapping audit and analyst review.</t>
  </si>
  <si>
    <t>R-015</t>
  </si>
  <si>
    <t>Juxtaposition allowed; causal assertion prohibited</t>
  </si>
  <si>
    <t>ETR and external data appear together</t>
  </si>
  <si>
    <t>Both sources; aligned periods; explicit relationship type</t>
  </si>
  <si>
    <t>Use directionally consistent with, contradicts, contextualizes, or later outcome.</t>
  </si>
  <si>
    <t>Say ETR caused, drove, or predicted the external KPI without validated methodology.</t>
  </si>
  <si>
    <t>Causality remains unestablished.</t>
  </si>
  <si>
    <t>Classify external evidence as corroborating, contradicting, contextual, confounder, or validation observation.</t>
  </si>
  <si>
    <t>Period and segment alignment are mandatory.</t>
  </si>
  <si>
    <t>Editorial QA plus historical backtesting.</t>
  </si>
  <si>
    <t>ETR-MCP-GTM-Package.docx; ETR_MCP_Skill_System_Report.pdf</t>
  </si>
  <si>
    <t>R-016</t>
  </si>
  <si>
    <t>Every bridge requires mechanism, lag, and confounders</t>
  </si>
  <si>
    <t>Creation of a Signal→KPI bridge</t>
  </si>
  <si>
    <t>Signal; KPI; mechanism; expected direction; lag; confounders; falsifier</t>
  </si>
  <si>
    <t>Store all required fields and label the bridge Hypothesis unless validated.</t>
  </si>
  <si>
    <t>Present temporal coincidence as proof.</t>
  </si>
  <si>
    <t>Missing lag/mechanism keeps bridge at Source Needed or Backtest Required.</t>
  </si>
  <si>
    <t>External company data provides KPI observations and confounders.</t>
  </si>
  <si>
    <t>Test one KPI at a time where possible.</t>
  </si>
  <si>
    <t>Historical proof-case backtest.</t>
  </si>
  <si>
    <t>ETR Engagement — July 23 Weekly Operating Deck.pptx; ETR_v0.8_LATEST_FULL_Evidence_Proof_Case.xlsx</t>
  </si>
  <si>
    <t>R-017</t>
  </si>
  <si>
    <t>Forecaster</t>
  </si>
  <si>
    <t>Forecaster is forward-expectation context, not realized outcome</t>
  </si>
  <si>
    <t>Forecaster output is used</t>
  </si>
  <si>
    <t>Model vintage; target; horizon; baseline; actual later outcome</t>
  </si>
  <si>
    <t>Describe as forward expectation and preserve the model vintage.</t>
  </si>
  <si>
    <t>Treat forecast as fact or substitute it for actual KPI results.</t>
  </si>
  <si>
    <t>Confidence depends on historical backtest and target definition.</t>
  </si>
  <si>
    <t>Compare later company-reported outcomes using a frozen vintage.</t>
  </si>
  <si>
    <t>Exact Forecaster methodology and output fields are Source Needed.</t>
  </si>
  <si>
    <t>Vintage-based forecast accuracy analysis.</t>
  </si>
  <si>
    <t>R-018</t>
  </si>
  <si>
    <t>No accuracy claim without frozen-vintage backtest</t>
  </si>
  <si>
    <t>Any forecast-accuracy or hit-rate claim</t>
  </si>
  <si>
    <t>Archived forecast; timestamp; target; realized outcome; tolerance</t>
  </si>
  <si>
    <t>Report accuracy only from a documented backtest cohort.</t>
  </si>
  <si>
    <t>Use hindsight-selected forecasts or revised model outputs.</t>
  </si>
  <si>
    <t>Missing vintages make result Inconclusive.</t>
  </si>
  <si>
    <t>External reported outcomes must use the exact defined KPI and period.</t>
  </si>
  <si>
    <t>Avoid look-ahead bias and post-outcome restatement.</t>
  </si>
  <si>
    <t>Build and review a vintage archive.</t>
  </si>
  <si>
    <t>ETR Engagement — July 23 Weekly Operating Deck.pptx; ETR Analysis.docx</t>
  </si>
  <si>
    <t>R-019</t>
  </si>
  <si>
    <t>Output Governance</t>
  </si>
  <si>
    <t>Description before interpretation</t>
  </si>
  <si>
    <t>Any generated narrative</t>
  </si>
  <si>
    <t>Named evidence supporting each interpretive verb</t>
  </si>
  <si>
    <t>State what changed first; then assign meaning only when evidence is identified.</t>
  </si>
  <si>
    <t>Force a bottom line when evidence is flat, mixed, or missing.</t>
  </si>
  <si>
    <t>Hedge weight must match evidence weight.</t>
  </si>
  <si>
    <t>External evidence is separately classified and cited.</t>
  </si>
  <si>
    <t>Flat and disagreement are valid findings.</t>
  </si>
  <si>
    <t>Editorial QA and analyst consistency review.</t>
  </si>
  <si>
    <t>R-020</t>
  </si>
  <si>
    <t>Human review required before external distribution</t>
  </si>
  <si>
    <t>Any Vendor Brief, Sunday Signal, or client email</t>
  </si>
  <si>
    <t>Reviewer; decision status; unresolved caveats</t>
  </si>
  <si>
    <t>Generate working draft and retain all caveats/source gaps.</t>
  </si>
  <si>
    <t>Publish automatically from unreviewed signal candidates.</t>
  </si>
  <si>
    <t>No analyst approval means not externally eligible.</t>
  </si>
  <si>
    <t>Researchers own final call and business relevance.</t>
  </si>
  <si>
    <t>Mechanical rules can be automated; publication judgment cannot.</t>
  </si>
  <si>
    <t>Track review corrections and exception patterns.</t>
  </si>
  <si>
    <t>ETR-MCP-GTM-Package.docx; ETR Engagement — July 23 Weekly Operating Deck.pptx</t>
  </si>
  <si>
    <t>R-021</t>
  </si>
  <si>
    <t>CrowdStrike demand-recovery bridge to Net New ARR</t>
  </si>
  <si>
    <t>CrowdStrike ETR recovery signal is evaluated</t>
  </si>
  <si>
    <t>ETR-CUR-001/004; REF-E-F04; aligned periods; decomposition; lag</t>
  </si>
  <si>
    <t>State that improving intent and Net New ARR are directionally consistent and test a lagged relationship.</t>
  </si>
  <si>
    <t>Claim current ETR recovery caused the 51% YoY Net New ARR result.</t>
  </si>
  <si>
    <t>Flex, CCP, renewal timing, new logos, and expansion are material confounders.</t>
  </si>
  <si>
    <t>Company-reported Net New ARR is the validation KPI observation.</t>
  </si>
  <si>
    <t>Current package does not contain a validated causal or predictive model.</t>
  </si>
  <si>
    <t>Backtest earlier survey vintages against later Net New ARR periods.</t>
  </si>
  <si>
    <t>CrowdStrike package: Current ETR Addendum; Reflexivity Evidence; XL-01</t>
  </si>
  <si>
    <t>R-022</t>
  </si>
  <si>
    <t>CrowdStrike Flex consolidation bridge to module adoption</t>
  </si>
  <si>
    <t>Flex and module adoption evidence move together</t>
  </si>
  <si>
    <t>Flex cohort; non-Flex cohort; module definition; period; contract treatment</t>
  </si>
  <si>
    <t>Describe coexistence and test whether Flex accounts show greater module-depth change.</t>
  </si>
  <si>
    <t>Claim Flex caused overall module adoption from aggregate timing alone.</t>
  </si>
  <si>
    <t>Selection effects, product improvement, reclassification, and contract restructuring.</t>
  </si>
  <si>
    <t>External company disclosures define Flex and module metrics.</t>
  </si>
  <si>
    <t>Flex-only versus non-Flex cohort evidence is Source Needed.</t>
  </si>
  <si>
    <t>Cohort comparison plus lag review.</t>
  </si>
  <si>
    <t>CrowdStrike package: REF-INT-02; REF-E-O02; REF-E-O03; XL-02</t>
  </si>
  <si>
    <t>R-023</t>
  </si>
  <si>
    <t>CrowdStrike AI demand bridge requires absolute product KPI</t>
  </si>
  <si>
    <t>Charlotte/AIDR demand is linked to ARR</t>
  </si>
  <si>
    <t>Absolute AIDR/Charlotte ARR; net-new contribution; budget source; adoption</t>
  </si>
  <si>
    <t>Describe emerging demand and retain unknown base.</t>
  </si>
  <si>
    <t>Infer material ARR contribution from nearly tripled growth on an undisclosed base.</t>
  </si>
  <si>
    <t>Bundling, Flex allocation, denominator effects, and budget reallocation.</t>
  </si>
  <si>
    <t>External product disclosures must provide the measurable KPI.</t>
  </si>
  <si>
    <t>Absolute base and incremental-budget evidence are missing.</t>
  </si>
  <si>
    <t>Obtain KPI, then run product-level proof case.</t>
  </si>
  <si>
    <t>CrowdStrike package: REF-INT-03; REF-E-P04; XL-04</t>
  </si>
  <si>
    <t>R-024</t>
  </si>
  <si>
    <t>Disagreement remains visible</t>
  </si>
  <si>
    <t>ETR and external evidence diverge</t>
  </si>
  <si>
    <t>Both evidence statements; periods; segments; possible lag</t>
  </si>
  <si>
    <t>Classify call as Mixed or Watch and list the divergence.</t>
  </si>
  <si>
    <t>Average away the conflict or select the preferred source without explanation.</t>
  </si>
  <si>
    <t>Confidence is reduced until mismatch is resolved.</t>
  </si>
  <si>
    <t>Use external evidence as contradiction/context, not silent override.</t>
  </si>
  <si>
    <t>Possible period/segment mismatch should be explicit.</t>
  </si>
  <si>
    <t>Review historical disagreement cases.</t>
  </si>
  <si>
    <t>R-025</t>
  </si>
  <si>
    <t>Promote latest resolved TSIS period to current evidence layer</t>
  </si>
  <si>
    <t>A newer survey-period source is supplied</t>
  </si>
  <si>
    <t>Resolved latest period; prior current period; source files</t>
  </si>
  <si>
    <t>Promote October 2026 to current and relabel July 2026 as historical.</t>
  </si>
  <si>
    <t>Blend or silently substitute periods; continue calling July current.</t>
  </si>
  <si>
    <t>Latest period must be explicitly supported.</t>
  </si>
  <si>
    <t>External reporting periods remain separate.</t>
  </si>
  <si>
    <t>Survey labels and export timestamps may differ; preserve both.</t>
  </si>
  <si>
    <t>Version-to-version temporal QA</t>
  </si>
  <si>
    <t>Attached OCT26 TSIS exports</t>
  </si>
  <si>
    <t>R-026</t>
  </si>
  <si>
    <t>Use actual CrowdStrike Survey Z-Scores as bounded context</t>
  </si>
  <si>
    <t>CrowdStrike Z-Score is displayed</t>
  </si>
  <si>
    <t>Metric value; Q/Q/Y/Y changes; Q/Q/Y/Y Z-Scores; N</t>
  </si>
  <si>
    <t>Report Q/Q 0.129 and Y/Y 0.892; both positive; pair with Net Score direction and N=420.</t>
  </si>
  <si>
    <t>Infer vendor call, probability, KPI outcome, significance, or approved strength band from score alone.</t>
  </si>
  <si>
    <t>Values exact; method bands missing.</t>
  </si>
  <si>
    <t>Company KPIs are later context or backtest targets.</t>
  </si>
  <si>
    <t>Z-Score does not replace Net Score, Pervasion, or review.</t>
  </si>
  <si>
    <t>Historical calibration after method approval</t>
  </si>
  <si>
    <t>Metric context matrix — what each metric can and cannot do</t>
  </si>
  <si>
    <t>Metric / Input</t>
  </si>
  <si>
    <t>Question It Answers</t>
  </si>
  <si>
    <t>Primary Role</t>
  </si>
  <si>
    <t>Must Be Paired With</t>
  </si>
  <si>
    <t>What It Can Support</t>
  </si>
  <si>
    <t>What It Cannot Prove</t>
  </si>
  <si>
    <t>Confidence Inputs</t>
  </si>
  <si>
    <t>CrowdStrike Example</t>
  </si>
  <si>
    <t>Is spend intent expanding or contracting?</t>
  </si>
  <si>
    <t>Directional demand signal</t>
  </si>
  <si>
    <t>Period change; N; bucket composition; Pervasion</t>
  </si>
  <si>
    <t>Direction and magnitude of spend intent</t>
  </si>
  <si>
    <t>Revenue, ARR, or market-share outcome</t>
  </si>
  <si>
    <t>N; period; comparability; respondent fit</t>
  </si>
  <si>
    <t>Compare to later KPI as corroboration/contradiction, not cause</t>
  </si>
  <si>
    <t>OCT26 37.14; +0.69 vs JUL26; +10.54 vs OCT25; N=420</t>
  </si>
  <si>
    <t>R-004; R-005</t>
  </si>
  <si>
    <t>Is the current reading or move unusual?</t>
  </si>
  <si>
    <t>Deviation / inflection modifier</t>
  </si>
  <si>
    <t>Directional base metric; Q/Q/Y/Y change; N; method specification for strength bands</t>
  </si>
  <si>
    <t>Positive/negative deviation context and relative Q/Q versus Y/Y comparison</t>
  </si>
  <si>
    <t>Direction, economic relevance, or statistical significance by itself</t>
  </si>
  <si>
    <t>Actual score; N; formula/lookback/normalization/approved bands</t>
  </si>
  <si>
    <t>Test whether unusualness precedes KPI movement</t>
  </si>
  <si>
    <t>Q/Q Z 0.129; Y/Y Z 0.892; N=420; bands Source Needed</t>
  </si>
  <si>
    <t>How broadly deployed is the vendor?</t>
  </si>
  <si>
    <t>Scale / maturity context</t>
  </si>
  <si>
    <t>Net Score; Replacing; N</t>
  </si>
  <si>
    <t>Breadth and deployment archetype</t>
  </si>
  <si>
    <t>Positive momentum by itself</t>
  </si>
  <si>
    <t>N; cohort; replacing composition</t>
  </si>
  <si>
    <t>Compare to customer/large-account metrics cautiously</t>
  </si>
  <si>
    <t>OCT26 40.90; JUL26 38.38; OCT25 38.49; N=420</t>
  </si>
  <si>
    <t>What might happen next?</t>
  </si>
  <si>
    <t>Forward-expectation context</t>
  </si>
  <si>
    <t>Frozen vintage; target; horizon; later actual</t>
  </si>
  <si>
    <t>A documented forward expectation</t>
  </si>
  <si>
    <t>A realized outcome or accuracy claim without backtest</t>
  </si>
  <si>
    <t>Vintage archive; target definition; tolerance</t>
  </si>
  <si>
    <t>Compare to exact later company KPI</t>
  </si>
  <si>
    <t>OQ-004 remains open</t>
  </si>
  <si>
    <t>R-017; R-018</t>
  </si>
  <si>
    <t>Where do vendors overlap?</t>
  </si>
  <si>
    <t>Competitive / wallet-shift context</t>
  </si>
  <si>
    <t>Shared N; anchor/display; surveywide baseline</t>
  </si>
  <si>
    <t>Cohort-vs-population divergence</t>
  </si>
  <si>
    <t>Actual displacement or lost revenue</t>
  </si>
  <si>
    <t>Shared N; relative N; peer relevance</t>
  </si>
  <si>
    <t>Compare to named displacement evidence as parallel evidence</t>
  </si>
  <si>
    <t>Current shared-account update remains open</t>
  </si>
  <si>
    <t>Edge / Insights</t>
  </si>
  <si>
    <t>Why may behavior be occurring?</t>
  </si>
  <si>
    <t>Parallel qualitative context</t>
  </si>
  <si>
    <t>Verbatim quote; role; date; aligned period</t>
  </si>
  <si>
    <t>Themes consistent with quantitative evidence</t>
  </si>
  <si>
    <t>Cause of a quantitative move</t>
  </si>
  <si>
    <t>Coverage; attribution; source freshness</t>
  </si>
  <si>
    <t>Apply same non-causal rule to external interviews</t>
  </si>
  <si>
    <t>Consolidation / footprint expansion commentary</t>
  </si>
  <si>
    <t>Company KPI</t>
  </si>
  <si>
    <t>Did a measurable business outcome occur?</t>
  </si>
  <si>
    <t>Economic relevance / validation observation</t>
  </si>
  <si>
    <t>Definition; segment; period; lag</t>
  </si>
  <si>
    <t>Outcome observation and proof-case target</t>
  </si>
  <si>
    <t>That ETR predicted or caused it</t>
  </si>
  <si>
    <t>Primary source; comparability; accounting definition</t>
  </si>
  <si>
    <t>Exact endpoint for later validation</t>
  </si>
  <si>
    <t>Net New ARR $332.8M (+51%)</t>
  </si>
  <si>
    <t>R-014; R-015; R-016</t>
  </si>
  <si>
    <t>MCP context export — concise machine-use guidance</t>
  </si>
  <si>
    <t>Context ID</t>
  </si>
  <si>
    <t>Source Rule IDs</t>
  </si>
  <si>
    <t>Applies To</t>
  </si>
  <si>
    <t>Instruction Text</t>
  </si>
  <si>
    <t>If Missing</t>
  </si>
  <si>
    <t>CTX-001</t>
  </si>
  <si>
    <t>All ETR datasets</t>
  </si>
  <si>
    <t>Resolve the entity, dataset, and aggregation level before retrieving metrics. Never reuse an entity ID across ETR datasets.</t>
  </si>
  <si>
    <t>Stop and return Source Needed.</t>
  </si>
  <si>
    <t>CTX-002</t>
  </si>
  <si>
    <t>R-002; R-003</t>
  </si>
  <si>
    <t>Time-series output</t>
  </si>
  <si>
    <t>Name the actual survey period and comparison frame. For CrowdStrike V3.5, October 2026 is current and July 2026 is historical.</t>
  </si>
  <si>
    <t>Do not describe July 2026 as current.</t>
  </si>
  <si>
    <t>CTX-003</t>
  </si>
  <si>
    <t>Net Score prose</t>
  </si>
  <si>
    <t>Describe ~±2 points as relatively flat, 3–4 points as a slight move, and 5+ points as a stated change. Do not call these statistical-significance thresholds.</t>
  </si>
  <si>
    <t>Describe the raw change only.</t>
  </si>
  <si>
    <t>CTX-004</t>
  </si>
  <si>
    <t>R-006; R-007</t>
  </si>
  <si>
    <t>Use Net Score for direction. Display CrowdStrike Q/Q Z 0.129, Y/Y Z 0.892, and N=420; both scores are positive, with Y/Y higher. Do not assign a strength/significance band without approved methodology.</t>
  </si>
  <si>
    <t>Raw Z-Score is available; only band interpretation remains Source Needed.</t>
  </si>
  <si>
    <t>CTX-005</t>
  </si>
  <si>
    <t>Use Pervasion as breadth/maturity context and pair it with Net Score, Replacing, and N. Low Pervasion may indicate emerging footprint or replacement pressure.</t>
  </si>
  <si>
    <t>Do not assign an archetype.</t>
  </si>
  <si>
    <t>CTX-006</t>
  </si>
  <si>
    <t>R-009; R-010</t>
  </si>
  <si>
    <t>Show N with every ETR percentage and Net Score. Apply dataset/use-case floors and hedge thin samples.</t>
  </si>
  <si>
    <t>Block the metric from interpreted output.</t>
  </si>
  <si>
    <t>CTX-007</t>
  </si>
  <si>
    <t>R-013; R-015</t>
  </si>
  <si>
    <t>Cross-source language</t>
  </si>
  <si>
    <t>Treat qualitative and external evidence as parallel evidence. Use consistent with, contradicts, or contextualizes; never caused, explains, or driven by across separate sources.</t>
  </si>
  <si>
    <t>Default to description only.</t>
  </si>
  <si>
    <t>CTX-008</t>
  </si>
  <si>
    <t>R-014; R-016</t>
  </si>
  <si>
    <t>Signal→KPI</t>
  </si>
  <si>
    <t>Before linking to a KPI, document entity/segment fit, economic mechanism, expected direction, lag, confounders, and falsifier. Label the relationship Hypothesis until validated.</t>
  </si>
  <si>
    <t>Mark bridge Source Needed or Backtest Required.</t>
  </si>
  <si>
    <t>CTX-009</t>
  </si>
  <si>
    <t>Preserve the model vintage, target, and horizon. Do not claim forecast accuracy without frozen-vintage backtesting against exact realized outcomes.</t>
  </si>
  <si>
    <t>Return Source Needed.</t>
  </si>
  <si>
    <t>CTX-010</t>
  </si>
  <si>
    <t>R-019; R-020</t>
  </si>
  <si>
    <t>Generated outputs</t>
  </si>
  <si>
    <t>Describe evidence before interpreting it; retain mixed/flat findings; require human review before external distribution.</t>
  </si>
  <si>
    <t>Output remains Working Draft / Not Eligible.</t>
  </si>
  <si>
    <t>CTX-011</t>
  </si>
  <si>
    <t>CrowdStrike proof case</t>
  </si>
  <si>
    <t>Frame JUL26 ETR recovery and company-reported Net New ARR as directionally consistent evidence. Do not claim causation or prediction; retain Flex, CCP, renewal, new-logo, and expansion confounders.</t>
  </si>
  <si>
    <t>Do not approve proof case.</t>
  </si>
  <si>
    <t>CTX-012</t>
  </si>
  <si>
    <t>CrowdStrike current period</t>
  </si>
  <si>
    <t>Treat OCT26 CSVs as the primary current TSIS layer and JUL26 evidence as historical comparison. Preserve exact period labels in output and lineage.</t>
  </si>
  <si>
    <t>If OCT26 source is excluded by a filter, show “filtered view — current evidence hidden.”</t>
  </si>
  <si>
    <t>CTX-013</t>
  </si>
  <si>
    <t>CrowdStrike Survey Z-Score</t>
  </si>
  <si>
    <t>Render Q/Q 0.129, Y/Y 0.892, and N=420 beside OCT26 Net Score and changes. Treat as deviation context, not a vendor call or KPI prediction.</t>
  </si>
  <si>
    <t>Keep strength-band interpretation Source Needed.</t>
  </si>
  <si>
    <t>CrowdStrike Vendor Signal Brief — Working Draft</t>
  </si>
  <si>
    <t>Call-first, signal-first, and evidence-backed. This is an output assembled from the research workspace; Human Review Required.</t>
  </si>
  <si>
    <t>Signal summary</t>
  </si>
  <si>
    <t>Current Call</t>
  </si>
  <si>
    <t>Positive — last resolved Outlook in JUL26; no separate OCT26 Outlook field supplied</t>
  </si>
  <si>
    <t>Current TSIS Period</t>
  </si>
  <si>
    <t>Primary Signal</t>
  </si>
  <si>
    <t>Post-outage spending recovery persists</t>
  </si>
  <si>
    <t>Direction</t>
  </si>
  <si>
    <t>Improving Y/Y; relatively flat sequentially</t>
  </si>
  <si>
    <t>Conviction</t>
  </si>
  <si>
    <t>37.14 | +0.69 vs Jul 2026 | +10.54 vs Oct 2025</t>
  </si>
  <si>
    <t>40.90 | +2.52 vs Jul 2026</t>
  </si>
  <si>
    <t>Executive signal</t>
  </si>
  <si>
    <t>October 2026 Net Score was 37.14, Pervasion was 40.90, and N was 420. Q/Q and Y/Y Z-Scores were 0.129 and 0.892.</t>
  </si>
  <si>
    <t>ETR-OCT26-NS; ETR-OCT26-PV; ETR-OCT26-ZS</t>
  </si>
  <si>
    <t>Recovery persists. The latest sequential move is modest, while the year-over-year improvement is materially larger. Breadth continued to expand.</t>
  </si>
  <si>
    <t>ETR-OCT26-NS; ETR-OCT26-PV; R-004; R-008</t>
  </si>
  <si>
    <t>The recovery signal may be associated with later Net New ARR outcomes, but mechanism, lag, and confounders remain unvalidated.</t>
  </si>
  <si>
    <t>SIG-02; KPI-003; R-021</t>
  </si>
  <si>
    <t>What are the cohort and regional Ns, and what approved bands should govern Z-Score interpretation?</t>
  </si>
  <si>
    <t>OQ-014; OQ-005</t>
  </si>
  <si>
    <t>Recommended action</t>
  </si>
  <si>
    <t>Approve, revise, or reject SIG-02 and the SIG-02 → KPI-003 bridge; then backtest against historical vintages.</t>
  </si>
  <si>
    <t>Signal Builder; KPI Bridge; Backtest Required</t>
  </si>
  <si>
    <t>Three drivers</t>
  </si>
  <si>
    <t>Demand recovery</t>
  </si>
  <si>
    <t>Net Score 37.14; +10.54 vs Oct 2025; Pervasion 40.90.</t>
  </si>
  <si>
    <t>ETR-OCT26-NS; ETR-OCT26-PV</t>
  </si>
  <si>
    <t>Selective enterprise strength</t>
  </si>
  <si>
    <t>G2000 42.61 and F500 42.68 exceed overall 37.14; Large Organizations 35.82.</t>
  </si>
  <si>
    <t>ETR-OCT26-G2K; F500; LARGE</t>
  </si>
  <si>
    <t>Operating confirmation — not validation</t>
  </si>
  <si>
    <t>Net New ARR $332.8M (+51%) is directionally consistent with recovery, but does not prove ETR prediction.</t>
  </si>
  <si>
    <t>REF-E-F04; XL-01; R-015</t>
  </si>
  <si>
    <t>Sunday Signal Builder — CrowdStrike</t>
  </si>
  <si>
    <t>Editable working draft assembled from classified research objects. Every block retains evidence IDs and claim type.</t>
  </si>
  <si>
    <t>Section</t>
  </si>
  <si>
    <t>Draft Text</t>
  </si>
  <si>
    <t>Classification</t>
  </si>
  <si>
    <t>Caveat</t>
  </si>
  <si>
    <t>Include?</t>
  </si>
  <si>
    <t>Researcher Edit</t>
  </si>
  <si>
    <t>Headline</t>
  </si>
  <si>
    <t>CrowdStrike’s October demand signal holds: breadth expands while sequential momentum levels off.</t>
  </si>
  <si>
    <t>R-004; R-008</t>
  </si>
  <si>
    <t>Why now</t>
  </si>
  <si>
    <t>October 2026 is the current TSIS period; July 2026 is historical comparison.</t>
  </si>
  <si>
    <t>R-002; R-025</t>
  </si>
  <si>
    <t>Preserve source period labels</t>
  </si>
  <si>
    <t>What changed</t>
  </si>
  <si>
    <t>Net Score reached 37.14, up 0.69 versus July and 10.54 versus October 2025; Pervasion reached 40.90.</t>
  </si>
  <si>
    <t>R-003; R-005</t>
  </si>
  <si>
    <t>Sequential move is relatively flat under the wording convention</t>
  </si>
  <si>
    <t>Z-Score context</t>
  </si>
  <si>
    <t>Q/Q Z-Score was 0.129 and Y/Y Z-Score was 0.892. Both are positive; approved strength bands remain Source Needed.</t>
  </si>
  <si>
    <t>Client-provided fact / interpretation</t>
  </si>
  <si>
    <t>No significance or prediction claim</t>
  </si>
  <si>
    <t>Where strongest</t>
  </si>
  <si>
    <t>G2000 and Fortune 500 Net Scores exceeded overall, while Large Organizations were below overall.</t>
  </si>
  <si>
    <t>R-010; R-011</t>
  </si>
  <si>
    <t>Cohort Ns not supplied</t>
  </si>
  <si>
    <t>What it does not prove</t>
  </si>
  <si>
    <t>The current survey evidence does not prove revenue, ARR, regional revenue, or a causal demand-to-KPI relationship.</t>
  </si>
  <si>
    <t>R-015; R-016; R-021</t>
  </si>
  <si>
    <t>R-015; R-016</t>
  </si>
  <si>
    <t>Retain in final draft</t>
  </si>
  <si>
    <t>What to watch</t>
  </si>
  <si>
    <t>Resolve cohort Ns, current retention, shared accounts, Z-Score bands, and the Signal→KPI lag.</t>
  </si>
  <si>
    <t>OQ-005; OQ-006; OQ-008; OQ-014</t>
  </si>
  <si>
    <t>Evidence Relationships</t>
  </si>
  <si>
    <t>Trace how evidence supports, contradicts, or contextualizes signals and KPI candidates.</t>
  </si>
  <si>
    <t>Evidence_ID</t>
  </si>
  <si>
    <t>Evidence_Type</t>
  </si>
  <si>
    <t>Supports_Signal_ID</t>
  </si>
  <si>
    <t>Contradicts_Signal_ID</t>
  </si>
  <si>
    <t>Related_Evidence_IDs</t>
  </si>
  <si>
    <t>Related_KPI_IDs</t>
  </si>
  <si>
    <t>Relationship_Type</t>
  </si>
  <si>
    <t>SIG-02; SIG-06</t>
  </si>
  <si>
    <t>SIG-01; SIG-05</t>
  </si>
  <si>
    <t>SIG-03; SIG-04</t>
  </si>
  <si>
    <t>SIG-01; SIG-04</t>
  </si>
  <si>
    <t>SIG-02; SIG-03</t>
  </si>
  <si>
    <t>SIG-02; SIG-05</t>
  </si>
  <si>
    <t>Contextualizing</t>
  </si>
  <si>
    <t>Priority</t>
  </si>
  <si>
    <t>Capture Source Type</t>
  </si>
  <si>
    <t>Workflow Status</t>
  </si>
  <si>
    <t>Template</t>
  </si>
  <si>
    <t>Anduril interpretation</t>
  </si>
  <si>
    <t>In Review</t>
  </si>
  <si>
    <t>Accept</t>
  </si>
  <si>
    <t>Customer Call</t>
  </si>
  <si>
    <t>Pervasion Trend</t>
  </si>
  <si>
    <t>Approved</t>
  </si>
  <si>
    <t>Accept as Hypothesis</t>
  </si>
  <si>
    <t>Reviewed</t>
  </si>
  <si>
    <t>Subsample / Cohort</t>
  </si>
  <si>
    <t>Rejected</t>
  </si>
  <si>
    <t>Revise</t>
  </si>
  <si>
    <t>Competition</t>
  </si>
  <si>
    <t>Related evidence</t>
  </si>
  <si>
    <t>Regional</t>
  </si>
  <si>
    <t>Needs Source</t>
  </si>
  <si>
    <t>Reject</t>
  </si>
  <si>
    <t>Superseded</t>
  </si>
  <si>
    <t>Adoption Reasoning</t>
  </si>
  <si>
    <t>Survey</t>
  </si>
  <si>
    <t>Enterprise</t>
  </si>
  <si>
    <t>KPI context</t>
  </si>
  <si>
    <t>ETR Export</t>
  </si>
  <si>
    <t>Company Disclosure</t>
  </si>
  <si>
    <t>Research Report</t>
  </si>
  <si>
    <t>Article</t>
  </si>
  <si>
    <t>Research Note</t>
  </si>
  <si>
    <t>Internal Discussion</t>
  </si>
  <si>
    <t>Other</t>
  </si>
  <si>
    <t>Market Share</t>
  </si>
  <si>
    <t>Raw Import — Crowdstrike survey_z_score_20260910_201831.csv</t>
  </si>
  <si>
    <t>Exact row-level import from the user-attached CSV. No interpretation or transformation.</t>
  </si>
  <si>
    <t>Ticker</t>
  </si>
  <si>
    <t>Citations</t>
  </si>
  <si>
    <t>Metric Value</t>
  </si>
  <si>
    <t>Q/Q Change</t>
  </si>
  <si>
    <t>Y/Y Change</t>
  </si>
  <si>
    <t>Q/Q Z-Score</t>
  </si>
  <si>
    <t>Y/Y Z-Score</t>
  </si>
  <si>
    <t>CRWD US</t>
  </si>
  <si>
    <t>Raw Import — single_vendor_aggregate_pervasion_chart_2026-09-10T20_29_23.484Z.csv</t>
  </si>
  <si>
    <t>Category</t>
  </si>
  <si>
    <t>Raw Import — respondent_subsample_region_2026-09-10T20_29_20.341Z.csv</t>
  </si>
  <si>
    <t>APAC</t>
  </si>
  <si>
    <t>EMEA</t>
  </si>
  <si>
    <t>International</t>
  </si>
  <si>
    <t>Latin America</t>
  </si>
  <si>
    <t>North America</t>
  </si>
  <si>
    <t>United States</t>
  </si>
  <si>
    <t>Raw Import — subsample_candlestick_2026-09-10T20_29_17.391Z.csv</t>
  </si>
  <si>
    <t>Adoption %</t>
  </si>
  <si>
    <t>Flat %</t>
  </si>
  <si>
    <t>Decrease %</t>
  </si>
  <si>
    <t>Replacing %</t>
  </si>
  <si>
    <t>Large + APAC</t>
  </si>
  <si>
    <t>Energy/Utilities</t>
  </si>
  <si>
    <t>Financials/Insurance</t>
  </si>
  <si>
    <t>North America + Financials/Insurance</t>
  </si>
  <si>
    <t>Midsize Organizations</t>
  </si>
  <si>
    <t>Fortune 500</t>
  </si>
  <si>
    <t>Global 2000</t>
  </si>
  <si>
    <t>VP, Head Of, Director, Manager, Principal</t>
  </si>
  <si>
    <t>Large + IT/TelCo</t>
  </si>
  <si>
    <t>Fortune 1000</t>
  </si>
  <si>
    <t>IT/TelCo</t>
  </si>
  <si>
    <t>Large + Financials/Insurance</t>
  </si>
  <si>
    <t>Giant Public + Private</t>
  </si>
  <si>
    <t>Midsize + Small Organizations</t>
  </si>
  <si>
    <t>Global 1000</t>
  </si>
  <si>
    <t>Large + North America + Financials/Insurance</t>
  </si>
  <si>
    <t>S&amp;P 500</t>
  </si>
  <si>
    <t>CxO - CIO, CTO, CISO, CMO, CDO, CPO</t>
  </si>
  <si>
    <t>Fortune 100</t>
  </si>
  <si>
    <t>All Respondents</t>
  </si>
  <si>
    <t>Retail/Consumer</t>
  </si>
  <si>
    <t>Repeat Throughout Trailing Year</t>
  </si>
  <si>
    <t>Large + North America</t>
  </si>
  <si>
    <t>EMEA + Financials/Insurance</t>
  </si>
  <si>
    <t>Services/Consulting</t>
  </si>
  <si>
    <t>Industrials/Materials/Manufacturing</t>
  </si>
  <si>
    <t>Large Organizations</t>
  </si>
  <si>
    <t>Large + North America + Healthcare/Pharma</t>
  </si>
  <si>
    <t>Small Organizations</t>
  </si>
  <si>
    <t>Education</t>
  </si>
  <si>
    <t>Large + International</t>
  </si>
  <si>
    <t>Analyst, Architect, Engineer, Lead, Specialist</t>
  </si>
  <si>
    <t>North America + Healthcare/Pharma</t>
  </si>
  <si>
    <t>Large + Healthcare/Pharma</t>
  </si>
  <si>
    <t>Nonprofit</t>
  </si>
  <si>
    <t>Large + EMEA</t>
  </si>
  <si>
    <t>Healthcare/Pharma</t>
  </si>
  <si>
    <t>Large + Latin America</t>
  </si>
  <si>
    <t>Forbes Private 225</t>
  </si>
  <si>
    <t>Raw Import — single_vendor_view_2026-09-10T20_29_14.440Z.csv</t>
  </si>
  <si>
    <t>CrowdStrike - INFORMATION SECURITY</t>
  </si>
  <si>
    <t>Raw Import — vendor_trends_trends_chart_2026-09-10T20_29_11.441Z.csv</t>
  </si>
  <si>
    <t>Veeam</t>
  </si>
  <si>
    <t>Orca Security</t>
  </si>
  <si>
    <t>Commvault</t>
  </si>
  <si>
    <t>OpenText</t>
  </si>
  <si>
    <t>Cohesity</t>
  </si>
  <si>
    <t>Cribl</t>
  </si>
  <si>
    <t>Arctic Wolf</t>
  </si>
  <si>
    <t>Grafana</t>
  </si>
  <si>
    <t>Cyera</t>
  </si>
  <si>
    <t>BigID</t>
  </si>
  <si>
    <t>1Password</t>
  </si>
  <si>
    <t>Rubrik</t>
  </si>
  <si>
    <t>Google</t>
  </si>
  <si>
    <t>Thales</t>
  </si>
  <si>
    <t>Snyk</t>
  </si>
  <si>
    <t>OneTrust</t>
  </si>
  <si>
    <t>HashiCorp (IBM)</t>
  </si>
  <si>
    <t>Exabeam</t>
  </si>
  <si>
    <t>Abnormal Security</t>
  </si>
  <si>
    <t>Proofpoint</t>
  </si>
  <si>
    <t>ForeScout</t>
  </si>
  <si>
    <t>Infoblox</t>
  </si>
  <si>
    <t>F5 Networks</t>
  </si>
  <si>
    <t>Oracle</t>
  </si>
  <si>
    <t>BitSight</t>
  </si>
  <si>
    <t>Netwrix</t>
  </si>
  <si>
    <t>Okta</t>
  </si>
  <si>
    <t>Illumio</t>
  </si>
  <si>
    <t>Auth0 (Okta)</t>
  </si>
  <si>
    <t>Symantec (Broadcom)</t>
  </si>
  <si>
    <t>PhishLabs</t>
  </si>
  <si>
    <t>BeyondTrust</t>
  </si>
  <si>
    <t>WhiteHat Security</t>
  </si>
  <si>
    <t>SailPoint</t>
  </si>
  <si>
    <t>Ping Identity</t>
  </si>
  <si>
    <t>Trellix (formerly McAfee Enterprise and FireEye)</t>
  </si>
  <si>
    <t>ForgeRock</t>
  </si>
  <si>
    <t>Delinea (formerly ThycoticCentrify)</t>
  </si>
  <si>
    <t>Fortinet</t>
  </si>
  <si>
    <t>ExtraHop</t>
  </si>
  <si>
    <t>Cloudflare</t>
  </si>
  <si>
    <t>Veracode</t>
  </si>
  <si>
    <t>Check Point</t>
  </si>
  <si>
    <t>Zscaler</t>
  </si>
  <si>
    <t>CyberArk (Palo Alto Networks)</t>
  </si>
  <si>
    <t>Elastic</t>
  </si>
  <si>
    <t>Carbon Black (VMware)</t>
  </si>
  <si>
    <t>OneLogin (One Identity / Quest Software)</t>
  </si>
  <si>
    <t>Malwarebytes</t>
  </si>
  <si>
    <t>Juniper (HPE)</t>
  </si>
  <si>
    <t>Barracuda Networks</t>
  </si>
  <si>
    <t>Dynatrace</t>
  </si>
  <si>
    <t>KnowBe4</t>
  </si>
  <si>
    <t>RSA</t>
  </si>
  <si>
    <t>SecureWorks (Sophos)</t>
  </si>
  <si>
    <t>Fastly</t>
  </si>
  <si>
    <t>Tenable</t>
  </si>
  <si>
    <t>SentinelOne</t>
  </si>
  <si>
    <t>Cylance (Arctic Wolf)</t>
  </si>
  <si>
    <t>Tanium</t>
  </si>
  <si>
    <t>Darktrace</t>
  </si>
  <si>
    <t>VeriSign</t>
  </si>
  <si>
    <t>Mimecast</t>
  </si>
  <si>
    <t>Qualys</t>
  </si>
  <si>
    <t>Cisco</t>
  </si>
  <si>
    <t>Microsoft</t>
  </si>
  <si>
    <t>Datadog</t>
  </si>
  <si>
    <t>Netskope</t>
  </si>
  <si>
    <t>Sophos</t>
  </si>
  <si>
    <t>Palo Alto Networks</t>
  </si>
  <si>
    <t>Radware</t>
  </si>
  <si>
    <t>Wiz (Google)</t>
  </si>
  <si>
    <t>Trend Micro</t>
  </si>
  <si>
    <t>Imperva (Thales)</t>
  </si>
  <si>
    <t>Akamai</t>
  </si>
  <si>
    <t>New Relic</t>
  </si>
  <si>
    <t>LogRhythm (Exabeam)</t>
  </si>
  <si>
    <t>SonicWALL</t>
  </si>
  <si>
    <t>Rapid7</t>
  </si>
  <si>
    <t>Splunk (Cisco)</t>
  </si>
  <si>
    <t>IBM</t>
  </si>
  <si>
    <t>Forcepoint</t>
  </si>
  <si>
    <t>Varonis Systems</t>
  </si>
  <si>
    <t>Raw Import — adoption_reasoning_2026-09-10T20_29_08.323Z.csv</t>
  </si>
  <si>
    <t>Oct 26</t>
  </si>
  <si>
    <t>Jul 26</t>
  </si>
  <si>
    <t>Product Technical Capabilities</t>
  </si>
  <si>
    <t>Feature Breadth</t>
  </si>
  <si>
    <t>Product Security</t>
  </si>
  <si>
    <t>Technological Lead / Lag</t>
  </si>
  <si>
    <t>Product Cost / ROI</t>
  </si>
  <si>
    <t>Implementation Cost / Time to Value</t>
  </si>
  <si>
    <t>Stack Alignment / Integrations</t>
  </si>
  <si>
    <t>Vendor Roadmap / Vision</t>
  </si>
  <si>
    <t>IT Skills / Talent Availability</t>
  </si>
  <si>
    <t>Vendor Relationship / Support</t>
  </si>
  <si>
    <t>Raw Import — respondent_composition_job_title_2026-09-10T20_28_56.798Z.csv</t>
  </si>
  <si>
    <t>Job Title</t>
  </si>
  <si>
    <t>Research Update Email Builder — CrowdStrike</t>
  </si>
  <si>
    <t>Internal working draft generated from the same approved research objects. Edit locally; do not send without review.</t>
  </si>
  <si>
    <t>Audience</t>
  </si>
  <si>
    <t>ETR Research Team</t>
  </si>
  <si>
    <t>Purpose</t>
  </si>
  <si>
    <t>Review October 2026 CrowdStrike signal and evidence</t>
  </si>
  <si>
    <t>Subject</t>
  </si>
  <si>
    <t>CrowdStrike Signal Update — October 2026 TSIS</t>
  </si>
  <si>
    <t>Working Draft — Human Review Required</t>
  </si>
  <si>
    <t>Draft email</t>
  </si>
  <si>
    <t>Team,
Bottom line: CrowdStrike’s October 2026 demand signal remains positive. Net Score was 37.14, up 0.69 points versus July 2026 and 10.54 points versus October 2025. Pervasion rose to 40.90.
What changed: Sequential Net Score movement was modest, while the year-over-year recovery was materially larger. Q/Q and Y/Y Z-Scores were 0.129 and 0.892; the raw values are available, but approved interpretation bands remain Source Needed.
Research implication: The evidence supports continued recovery and broader deployment, with selective enterprise strength and geographic divergence. It does not validate a causal or predictive relationship to Net New ARR.
Review requested: Please approve, revise, or reject SIG-02 and the proposed SIG-02 → KPI-003 bridge. We also need cohort/regional Ns, current retention, current shared-account data, and approved Z-Score methodology bands.
Evidence: ETR-OCT26-NS; ETR-OCT26-PV; ETR-OCT26-ZS; ETR-OCT26-G2K; ETR-OCT26-F500; ETR-OCT26-LARGE.
Human Review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</si>
</sst>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9"/>
      <color rgb="FFFFFFFF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1"/>
      <name val="Calibri"/>
    </font>
    <font>
      <b/>
      <sz val="20"/>
      <color rgb="FFFFFFFF"/>
      <name val="Calibri"/>
    </font>
    <font>
      <i/>
      <sz val="11"/>
      <color rgb="FF7F7F7F"/>
      <name val="Calibri"/>
    </font>
    <font>
      <b/>
      <u/>
      <sz val="11"/>
      <color rgb="FF0563C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16A20"/>
      </patternFill>
    </fill>
    <fill>
      <patternFill patternType="solid">
        <fgColor rgb="FFF4CCCC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0" xfId="0" applyFont="1"/>
    <xf numFmtId="0" fontId="4" fillId="4" borderId="0" xfId="0" applyFont="1" applyFill="1"/>
    <xf numFmtId="0" fontId="8" fillId="0" borderId="0" xfId="0" applyFont="1" applyAlignment="1">
      <alignment horizontal="center"/>
    </xf>
    <xf numFmtId="0" fontId="0" fillId="6" borderId="0" xfId="0" applyFill="1" applyAlignment="1">
      <alignment vertical="top" wrapText="1"/>
    </xf>
    <xf numFmtId="0" fontId="4" fillId="6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0" fillId="0" borderId="8" xfId="0" applyBorder="1" applyAlignment="1">
      <alignment vertical="top" wrapText="1"/>
    </xf>
    <xf numFmtId="0" fontId="0" fillId="9" borderId="8" xfId="0" applyFill="1" applyBorder="1" applyAlignment="1">
      <alignment vertical="top" wrapText="1"/>
    </xf>
    <xf numFmtId="0" fontId="0" fillId="10" borderId="8" xfId="0" applyFill="1" applyBorder="1" applyAlignment="1">
      <alignment vertical="top" wrapText="1"/>
    </xf>
    <xf numFmtId="0" fontId="4" fillId="12" borderId="0" xfId="0" applyFont="1" applyFill="1"/>
    <xf numFmtId="0" fontId="4" fillId="13" borderId="0" xfId="0" applyFont="1" applyFill="1"/>
    <xf numFmtId="0" fontId="4" fillId="9" borderId="0" xfId="0" applyFont="1" applyFill="1"/>
    <xf numFmtId="0" fontId="4" fillId="14" borderId="0" xfId="0" applyFont="1" applyFill="1"/>
    <xf numFmtId="0" fontId="3" fillId="8" borderId="0" xfId="0" applyFont="1" applyFill="1" applyAlignment="1">
      <alignment horizontal="center"/>
    </xf>
    <xf numFmtId="0" fontId="3" fillId="15" borderId="0" xfId="0" applyFont="1" applyFill="1"/>
    <xf numFmtId="0" fontId="4" fillId="0" borderId="8" xfId="0" applyFont="1" applyBorder="1" applyAlignment="1">
      <alignment vertical="top" wrapText="1"/>
    </xf>
    <xf numFmtId="0" fontId="0" fillId="13" borderId="0" xfId="0" applyFill="1"/>
    <xf numFmtId="0" fontId="0" fillId="10" borderId="9" xfId="0" applyFill="1" applyBorder="1" applyAlignment="1">
      <alignment vertical="top" wrapText="1"/>
    </xf>
    <xf numFmtId="0" fontId="4" fillId="11" borderId="0" xfId="0" applyFont="1" applyFill="1"/>
    <xf numFmtId="0" fontId="0" fillId="13" borderId="8" xfId="0" applyFill="1" applyBorder="1" applyAlignment="1">
      <alignment vertical="top" wrapText="1"/>
    </xf>
    <xf numFmtId="0" fontId="3" fillId="5" borderId="7" xfId="0" applyFont="1" applyFill="1" applyBorder="1" applyAlignment="1">
      <alignment vertical="center" wrapText="1"/>
    </xf>
    <xf numFmtId="0" fontId="0" fillId="9" borderId="0" xfId="0" applyFill="1"/>
    <xf numFmtId="0" fontId="0" fillId="11" borderId="8" xfId="0" applyFill="1" applyBorder="1" applyAlignment="1">
      <alignment vertical="top" wrapText="1"/>
    </xf>
    <xf numFmtId="0" fontId="0" fillId="11" borderId="0" xfId="0" applyFill="1"/>
    <xf numFmtId="0" fontId="0" fillId="12" borderId="8" xfId="0" applyFill="1" applyBorder="1" applyAlignment="1">
      <alignment vertical="top" wrapText="1"/>
    </xf>
    <xf numFmtId="0" fontId="3" fillId="2" borderId="7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4" fillId="9" borderId="0" xfId="0" applyFont="1" applyFill="1" applyAlignment="1">
      <alignment horizontal="center"/>
    </xf>
    <xf numFmtId="0" fontId="3" fillId="7" borderId="7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0" fillId="14" borderId="8" xfId="0" applyFill="1" applyBorder="1" applyAlignment="1">
      <alignment vertical="top" wrapText="1"/>
    </xf>
    <xf numFmtId="0" fontId="5" fillId="0" borderId="0" xfId="0" applyFont="1"/>
    <xf numFmtId="0" fontId="0" fillId="9" borderId="0" xfId="0" applyFill="1" applyAlignment="1">
      <alignment vertical="center" wrapText="1"/>
    </xf>
    <xf numFmtId="0" fontId="1" fillId="7" borderId="0" xfId="0" applyFont="1" applyFill="1" applyAlignment="1">
      <alignment vertical="center"/>
    </xf>
    <xf numFmtId="0" fontId="0" fillId="0" borderId="0" xfId="0" applyAlignment="1">
      <alignment wrapText="1"/>
    </xf>
    <xf numFmtId="0" fontId="3" fillId="7" borderId="0" xfId="0" applyFont="1" applyFill="1" applyAlignment="1">
      <alignment vertical="center"/>
    </xf>
    <xf numFmtId="0" fontId="0" fillId="9" borderId="0" xfId="0" applyFill="1" applyAlignment="1">
      <alignment wrapText="1"/>
    </xf>
    <xf numFmtId="0" fontId="4" fillId="12" borderId="0" xfId="0" applyFont="1" applyFill="1" applyAlignment="1">
      <alignment horizontal="center" vertical="center" wrapText="1"/>
    </xf>
    <xf numFmtId="0" fontId="0" fillId="13" borderId="0" xfId="0" applyFill="1" applyAlignment="1">
      <alignment wrapText="1"/>
    </xf>
    <xf numFmtId="0" fontId="4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7" borderId="0" xfId="0" applyFont="1" applyFill="1" applyAlignment="1">
      <alignment vertical="center"/>
    </xf>
    <xf numFmtId="0" fontId="4" fillId="9" borderId="9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10" borderId="9" xfId="0" applyFont="1" applyFill="1" applyBorder="1" applyAlignment="1">
      <alignment vertical="top" wrapText="1"/>
    </xf>
    <xf numFmtId="0" fontId="4" fillId="11" borderId="0" xfId="0" applyFont="1" applyFill="1" applyAlignment="1">
      <alignment vertical="center" wrapText="1"/>
    </xf>
    <xf numFmtId="0" fontId="0" fillId="11" borderId="0" xfId="0" applyFill="1" applyAlignment="1">
      <alignment wrapText="1"/>
    </xf>
    <xf numFmtId="0" fontId="3" fillId="5" borderId="0" xfId="0" applyFont="1" applyFill="1" applyAlignment="1">
      <alignment horizontal="center" wrapText="1"/>
    </xf>
    <xf numFmtId="0" fontId="0" fillId="13" borderId="0" xfId="0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11" borderId="0" xfId="0" applyFont="1" applyFill="1" applyAlignment="1">
      <alignment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15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14" borderId="0" xfId="0" applyFill="1" applyAlignment="1">
      <alignment vertical="top" wrapText="1"/>
    </xf>
    <xf numFmtId="0" fontId="0" fillId="0" borderId="0" xfId="0" applyAlignment="1"/>
    <xf numFmtId="0" fontId="5" fillId="0" borderId="0" xfId="0" applyFont="1" applyAlignment="1"/>
    <xf numFmtId="0" fontId="3" fillId="7" borderId="0" xfId="0" applyFont="1" applyFill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3" fillId="8" borderId="0" xfId="0" applyFont="1" applyFill="1" applyAlignment="1"/>
    <xf numFmtId="0" fontId="3" fillId="5" borderId="0" xfId="0" applyFont="1" applyFill="1" applyAlignment="1"/>
    <xf numFmtId="0" fontId="0" fillId="0" borderId="1" xfId="0" applyBorder="1" applyAlignment="1"/>
    <xf numFmtId="0" fontId="0" fillId="0" borderId="8" xfId="0" applyBorder="1" applyAlignment="1"/>
    <xf numFmtId="0" fontId="4" fillId="11" borderId="0" xfId="0" applyFont="1" applyFill="1" applyAlignment="1"/>
    <xf numFmtId="0" fontId="2" fillId="0" borderId="0" xfId="0" applyFont="1" applyAlignment="1"/>
    <xf numFmtId="0" fontId="4" fillId="0" borderId="0" xfId="0" applyFont="1" applyAlignment="1"/>
    <xf numFmtId="0" fontId="0" fillId="14" borderId="0" xfId="0" applyFill="1" applyAlignment="1"/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ourceCatalog" displayName="T_SourceCatalog" ref="A5:J46">
  <autoFilter ref="A5:J46" xr:uid="{00000000-0009-0000-0100-000001000000}"/>
  <tableColumns count="10">
    <tableColumn id="1" xr3:uid="{00000000-0010-0000-0000-000001000000}" name="Source ID"/>
    <tableColumn id="2" xr3:uid="{00000000-0010-0000-0000-000002000000}" name="Source Name"/>
    <tableColumn id="3" xr3:uid="{00000000-0010-0000-0000-000003000000}" name="Source Type"/>
    <tableColumn id="4" xr3:uid="{00000000-0010-0000-0000-000004000000}" name="Publisher / Lane"/>
    <tableColumn id="5" xr3:uid="{00000000-0010-0000-0000-000005000000}" name="Location"/>
    <tableColumn id="6" xr3:uid="{00000000-0010-0000-0000-000006000000}" name="Date / Period"/>
    <tableColumn id="7" xr3:uid="{00000000-0010-0000-0000-000007000000}" name="Evidence IDs"/>
    <tableColumn id="8" xr3:uid="{00000000-0010-0000-0000-000008000000}" name="Dataset Type"/>
    <tableColumn id="9" xr3:uid="{00000000-0010-0000-0000-000009000000}" name="Access / Status"/>
    <tableColumn id="10" xr3:uid="{00000000-0010-0000-0000-00000A000000}" name="Review Not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SundaySignal" displayName="T_SundaySignal" ref="A5:I12">
  <autoFilter ref="A5:I12" xr:uid="{00000000-0009-0000-0100-000002000000}"/>
  <tableColumns count="9">
    <tableColumn id="1" xr3:uid="{00000000-0010-0000-0100-000001000000}" name="Section"/>
    <tableColumn id="2" xr3:uid="{00000000-0010-0000-0100-000002000000}" name="Draft Text"/>
    <tableColumn id="3" xr3:uid="{00000000-0010-0000-0100-000003000000}" name="Classification"/>
    <tableColumn id="4" xr3:uid="{00000000-0010-0000-0100-000004000000}" name="Evidence IDs"/>
    <tableColumn id="5" xr3:uid="{00000000-0010-0000-0100-000005000000}" name="Rule IDs"/>
    <tableColumn id="6" xr3:uid="{00000000-0010-0000-0100-000006000000}" name="Confidence"/>
    <tableColumn id="7" xr3:uid="{00000000-0010-0000-0100-000007000000}" name="Caveat"/>
    <tableColumn id="8" xr3:uid="{00000000-0010-0000-0100-000008000000}" name="Include?"/>
    <tableColumn id="9" xr3:uid="{00000000-0010-0000-0100-000009000000}" name="Researcher Edi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K32"/>
  <sheetViews>
    <sheetView showGridLines="0" tabSelected="1" workbookViewId="0"/>
  </sheetViews>
  <sheetFormatPr defaultRowHeight="15"/>
  <cols>
    <col min="1" max="1" width="4" customWidth="1"/>
    <col min="2" max="9" width="22" customWidth="1"/>
    <col min="10" max="10" width="4" customWidth="1"/>
    <col min="11" max="11" width="23.28515625" customWidth="1"/>
  </cols>
  <sheetData>
    <row r="1" spans="1:11">
      <c r="A1" s="37" t="s">
        <v>0</v>
      </c>
      <c r="B1" s="69"/>
      <c r="C1" s="69"/>
      <c r="D1" s="69"/>
      <c r="E1" s="69"/>
      <c r="F1" s="69"/>
      <c r="G1" s="69"/>
      <c r="H1" s="69"/>
      <c r="I1" s="69"/>
      <c r="J1" s="69"/>
    </row>
    <row r="2" spans="1:11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1" ht="33.950000000000003" customHeight="1">
      <c r="A3" s="47" t="s">
        <v>1</v>
      </c>
      <c r="B3" s="69"/>
      <c r="C3" s="69"/>
      <c r="D3" s="69"/>
      <c r="E3" s="69"/>
      <c r="F3" s="69"/>
      <c r="G3" s="69"/>
      <c r="H3" s="69"/>
      <c r="I3" s="69"/>
      <c r="J3" s="69"/>
    </row>
    <row r="4" spans="1:11">
      <c r="A4" s="39" t="s">
        <v>2</v>
      </c>
      <c r="B4" s="69"/>
      <c r="C4" s="69"/>
      <c r="D4" s="69"/>
      <c r="E4" s="69"/>
      <c r="F4" s="69"/>
      <c r="G4" s="69"/>
      <c r="H4" s="69"/>
      <c r="I4" s="69"/>
      <c r="J4" s="69"/>
    </row>
    <row r="6" spans="1:11">
      <c r="B6" s="41" t="s">
        <v>3</v>
      </c>
      <c r="C6" s="69"/>
      <c r="D6" s="43" t="s">
        <v>4</v>
      </c>
      <c r="E6" s="69"/>
      <c r="F6" s="43" t="s">
        <v>5</v>
      </c>
      <c r="G6" s="69"/>
      <c r="H6" s="45" t="s">
        <v>6</v>
      </c>
      <c r="I6" s="69"/>
      <c r="J6" s="46" t="s">
        <v>7</v>
      </c>
      <c r="K6" s="69"/>
    </row>
    <row r="7" spans="1:11">
      <c r="B7" s="69"/>
      <c r="C7" s="69"/>
      <c r="D7" s="69"/>
      <c r="E7" s="69"/>
      <c r="F7" s="69"/>
      <c r="G7" s="69"/>
      <c r="H7" s="69"/>
      <c r="I7" s="69"/>
      <c r="J7" s="69"/>
      <c r="K7" s="69"/>
    </row>
    <row r="9" spans="1:11">
      <c r="A9" s="39" t="s">
        <v>8</v>
      </c>
      <c r="B9" s="69"/>
      <c r="C9" s="69"/>
      <c r="D9" s="69"/>
      <c r="E9" s="69"/>
      <c r="F9" s="69"/>
      <c r="G9" s="69"/>
      <c r="H9" s="69"/>
      <c r="I9" s="69"/>
      <c r="J9" s="69"/>
    </row>
    <row r="10" spans="1:11">
      <c r="B10" s="12" t="s">
        <v>9</v>
      </c>
      <c r="C10" s="70" t="s">
        <v>10</v>
      </c>
      <c r="D10" s="69"/>
      <c r="E10" s="38" t="s">
        <v>11</v>
      </c>
      <c r="F10" s="69"/>
      <c r="G10" s="69"/>
      <c r="H10" s="69"/>
      <c r="I10" s="69"/>
    </row>
    <row r="11" spans="1:11">
      <c r="B11" s="13" t="s">
        <v>12</v>
      </c>
      <c r="C11" s="70" t="s">
        <v>13</v>
      </c>
      <c r="D11" s="69"/>
      <c r="E11" s="38" t="s">
        <v>14</v>
      </c>
      <c r="F11" s="69"/>
      <c r="G11" s="69"/>
      <c r="H11" s="69"/>
      <c r="I11" s="69"/>
    </row>
    <row r="12" spans="1:11">
      <c r="B12" s="14" t="s">
        <v>15</v>
      </c>
      <c r="C12" s="70" t="s">
        <v>16</v>
      </c>
      <c r="D12" s="69"/>
      <c r="E12" s="38" t="s">
        <v>17</v>
      </c>
      <c r="F12" s="69"/>
      <c r="G12" s="69"/>
      <c r="H12" s="69"/>
      <c r="I12" s="69"/>
    </row>
    <row r="13" spans="1:11">
      <c r="B13" s="5" t="s">
        <v>18</v>
      </c>
      <c r="C13" s="70" t="s">
        <v>19</v>
      </c>
      <c r="D13" s="69"/>
      <c r="E13" s="38" t="s">
        <v>20</v>
      </c>
      <c r="F13" s="69"/>
      <c r="G13" s="69"/>
      <c r="H13" s="69"/>
      <c r="I13" s="69"/>
    </row>
    <row r="14" spans="1:11">
      <c r="B14" s="15" t="s">
        <v>21</v>
      </c>
      <c r="C14" s="70" t="s">
        <v>22</v>
      </c>
      <c r="D14" s="69"/>
      <c r="E14" s="38" t="s">
        <v>23</v>
      </c>
      <c r="F14" s="69"/>
      <c r="G14" s="69"/>
      <c r="H14" s="69"/>
      <c r="I14" s="69"/>
    </row>
    <row r="16" spans="1:11">
      <c r="A16" s="44" t="s">
        <v>24</v>
      </c>
      <c r="B16" s="69"/>
      <c r="C16" s="69"/>
      <c r="D16" s="69"/>
      <c r="E16" s="69"/>
      <c r="F16" s="69"/>
      <c r="G16" s="69"/>
      <c r="H16" s="69"/>
      <c r="I16" s="69"/>
      <c r="J16" s="69"/>
    </row>
    <row r="17" spans="1:10">
      <c r="B17" s="36" t="s">
        <v>25</v>
      </c>
      <c r="C17" s="69"/>
      <c r="D17" s="69"/>
      <c r="E17" s="69"/>
      <c r="F17" s="69"/>
      <c r="G17" s="69"/>
      <c r="H17" s="69"/>
      <c r="I17" s="69"/>
    </row>
    <row r="18" spans="1:10">
      <c r="B18" s="69"/>
      <c r="C18" s="69"/>
      <c r="D18" s="69"/>
      <c r="E18" s="69"/>
      <c r="F18" s="69"/>
      <c r="G18" s="69"/>
      <c r="H18" s="69"/>
      <c r="I18" s="69"/>
    </row>
    <row r="19" spans="1:10">
      <c r="B19" s="69"/>
      <c r="C19" s="69"/>
      <c r="D19" s="69"/>
      <c r="E19" s="69"/>
      <c r="F19" s="69"/>
      <c r="G19" s="69"/>
      <c r="H19" s="69"/>
      <c r="I19" s="69"/>
    </row>
    <row r="20" spans="1:10">
      <c r="B20" s="69"/>
      <c r="C20" s="69"/>
      <c r="D20" s="69"/>
      <c r="E20" s="69"/>
      <c r="F20" s="69"/>
      <c r="G20" s="69"/>
      <c r="H20" s="69"/>
      <c r="I20" s="69"/>
    </row>
    <row r="22" spans="1:10">
      <c r="A22" s="39" t="s">
        <v>26</v>
      </c>
      <c r="B22" s="69"/>
      <c r="C22" s="69"/>
      <c r="D22" s="69"/>
      <c r="E22" s="69"/>
      <c r="F22" s="69"/>
      <c r="G22" s="69"/>
      <c r="H22" s="69"/>
      <c r="I22" s="69"/>
      <c r="J22" s="69"/>
    </row>
    <row r="23" spans="1:10">
      <c r="B23" s="1" t="s">
        <v>27</v>
      </c>
      <c r="C23" s="69" t="s">
        <v>28</v>
      </c>
      <c r="D23" s="69"/>
      <c r="E23" s="69"/>
      <c r="F23" s="69"/>
      <c r="G23" s="69"/>
      <c r="H23" s="69"/>
      <c r="I23" s="69"/>
    </row>
    <row r="24" spans="1:10">
      <c r="B24" s="1" t="s">
        <v>29</v>
      </c>
      <c r="C24" s="69" t="s">
        <v>30</v>
      </c>
      <c r="D24" s="69"/>
      <c r="E24" s="69"/>
      <c r="F24" s="69"/>
      <c r="G24" s="69"/>
      <c r="H24" s="69"/>
      <c r="I24" s="69"/>
    </row>
    <row r="25" spans="1:10">
      <c r="B25" s="1" t="s">
        <v>31</v>
      </c>
      <c r="C25" s="69" t="s">
        <v>32</v>
      </c>
      <c r="D25" s="69"/>
      <c r="E25" s="69"/>
      <c r="F25" s="69"/>
      <c r="G25" s="69"/>
      <c r="H25" s="69"/>
      <c r="I25" s="69"/>
    </row>
    <row r="26" spans="1:10">
      <c r="B26" s="1" t="s">
        <v>33</v>
      </c>
      <c r="C26" s="69" t="s">
        <v>34</v>
      </c>
      <c r="D26" s="69"/>
      <c r="E26" s="69"/>
      <c r="F26" s="69"/>
      <c r="G26" s="69"/>
      <c r="H26" s="69"/>
      <c r="I26" s="69"/>
    </row>
    <row r="27" spans="1:10">
      <c r="B27" s="1" t="s">
        <v>35</v>
      </c>
      <c r="C27" s="69" t="s">
        <v>36</v>
      </c>
      <c r="D27" s="69"/>
      <c r="E27" s="69"/>
      <c r="F27" s="69"/>
      <c r="G27" s="69"/>
      <c r="H27" s="69"/>
      <c r="I27" s="69"/>
    </row>
    <row r="28" spans="1:10">
      <c r="B28" s="1" t="s">
        <v>37</v>
      </c>
      <c r="C28" s="69" t="s">
        <v>38</v>
      </c>
      <c r="D28" s="69"/>
      <c r="E28" s="69"/>
      <c r="F28" s="69"/>
      <c r="G28" s="69"/>
      <c r="H28" s="69"/>
      <c r="I28" s="69"/>
    </row>
    <row r="30" spans="1:10">
      <c r="B30" s="6" t="s">
        <v>39</v>
      </c>
      <c r="C30" s="42" t="s">
        <v>40</v>
      </c>
      <c r="D30" s="69"/>
      <c r="E30" s="69"/>
      <c r="F30" s="69"/>
      <c r="G30" s="69"/>
      <c r="H30" s="69"/>
      <c r="I30" s="69"/>
    </row>
    <row r="32" spans="1:10">
      <c r="B32" s="16" t="s">
        <v>41</v>
      </c>
      <c r="C32" s="40" t="s">
        <v>42</v>
      </c>
      <c r="D32" s="69"/>
      <c r="E32" s="69"/>
      <c r="F32" s="69"/>
      <c r="G32" s="69"/>
      <c r="H32" s="69"/>
      <c r="I32" s="69"/>
    </row>
  </sheetData>
  <mergeCells count="30">
    <mergeCell ref="C27:I27"/>
    <mergeCell ref="C25:I25"/>
    <mergeCell ref="H6:I7"/>
    <mergeCell ref="J6:K7"/>
    <mergeCell ref="A3:J3"/>
    <mergeCell ref="C13:D13"/>
    <mergeCell ref="C32:I32"/>
    <mergeCell ref="B6:C7"/>
    <mergeCell ref="E14:I14"/>
    <mergeCell ref="C28:I28"/>
    <mergeCell ref="C10:D10"/>
    <mergeCell ref="A9:J9"/>
    <mergeCell ref="E10:I10"/>
    <mergeCell ref="E13:I13"/>
    <mergeCell ref="C24:I24"/>
    <mergeCell ref="C30:I30"/>
    <mergeCell ref="C12:D12"/>
    <mergeCell ref="C26:I26"/>
    <mergeCell ref="C11:D11"/>
    <mergeCell ref="D6:E7"/>
    <mergeCell ref="E11:I11"/>
    <mergeCell ref="F6:G7"/>
    <mergeCell ref="B17:I20"/>
    <mergeCell ref="C23:I23"/>
    <mergeCell ref="A1:J2"/>
    <mergeCell ref="E12:I12"/>
    <mergeCell ref="A22:J22"/>
    <mergeCell ref="C14:D14"/>
    <mergeCell ref="A4:J4"/>
    <mergeCell ref="A16:J16"/>
  </mergeCells>
  <hyperlinks>
    <hyperlink ref="B6" location="'Sources'!A1" display="1. SOURCES" xr:uid="{00000000-0004-0000-0000-000000000000}"/>
    <hyperlink ref="D6" location="'Add Evidence'!A1" display="2. ADD EVIDENCE" xr:uid="{00000000-0004-0000-0000-000001000000}"/>
    <hyperlink ref="F6" location="'Evidence Library'!A1" display="3. EVIDENCE" xr:uid="{00000000-0004-0000-0000-000002000000}"/>
    <hyperlink ref="H6" location="'Signal Builder'!A1" display="4. SIGNALS" xr:uid="{00000000-0004-0000-0000-000003000000}"/>
    <hyperlink ref="J6" location="'Executive Brief'!A1" display="5. OUTPUTS" xr:uid="{00000000-0004-0000-0000-000004000000}"/>
    <hyperlink ref="B30" location="'Evidence Intake Form'!A1" display="CAPTURE NEW EVIDENCE" xr:uid="{00000000-0004-0000-0000-000005000000}"/>
    <hyperlink ref="B32" location="'Research Lineage'!A1" display="RESEARCH LINEAGE" xr:uid="{00000000-0004-0000-0000-000006000000}"/>
  </hyperlink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M52"/>
  <sheetViews>
    <sheetView showGridLines="0" workbookViewId="0">
      <pane xSplit="1" ySplit="22" topLeftCell="B33" activePane="bottomRight" state="frozen"/>
      <selection pane="bottomRight" activeCell="A7" sqref="A7:B9"/>
      <selection pane="bottomLeft"/>
      <selection pane="topRight"/>
    </sheetView>
  </sheetViews>
  <sheetFormatPr defaultRowHeight="15"/>
  <cols>
    <col min="1" max="1" width="4" customWidth="1"/>
    <col min="2" max="3" width="20" customWidth="1"/>
    <col min="4" max="4" width="5" customWidth="1"/>
    <col min="5" max="6" width="20" customWidth="1"/>
    <col min="7" max="7" width="5" customWidth="1"/>
    <col min="8" max="9" width="20" customWidth="1"/>
    <col min="10" max="10" width="5" customWidth="1"/>
    <col min="11" max="12" width="20" customWidth="1"/>
    <col min="13" max="13" width="4" customWidth="1"/>
  </cols>
  <sheetData>
    <row r="1" spans="1:13">
      <c r="A1" s="48" t="s">
        <v>43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>
      <c r="A3" s="55" t="s">
        <v>44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5" spans="1:13">
      <c r="A5" s="71" t="s">
        <v>45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7" spans="1:13">
      <c r="A7" s="51" t="s">
        <v>46</v>
      </c>
      <c r="B7" s="72"/>
      <c r="D7" s="52" t="s">
        <v>47</v>
      </c>
      <c r="E7" s="72"/>
      <c r="G7" s="52" t="s">
        <v>48</v>
      </c>
      <c r="H7" s="72"/>
      <c r="J7" s="49" t="s">
        <v>49</v>
      </c>
      <c r="K7" s="72"/>
    </row>
    <row r="8" spans="1:13">
      <c r="A8" s="73"/>
      <c r="B8" s="74"/>
      <c r="D8" s="73"/>
      <c r="E8" s="74"/>
      <c r="G8" s="73"/>
      <c r="H8" s="74"/>
      <c r="J8" s="73"/>
      <c r="K8" s="74"/>
    </row>
    <row r="9" spans="1:13">
      <c r="A9" s="75"/>
      <c r="B9" s="76"/>
      <c r="D9" s="75"/>
      <c r="E9" s="76"/>
      <c r="G9" s="75"/>
      <c r="H9" s="76"/>
      <c r="J9" s="75"/>
      <c r="K9" s="76"/>
    </row>
    <row r="11" spans="1:13">
      <c r="A11" s="49" t="s">
        <v>50</v>
      </c>
      <c r="B11" s="72"/>
      <c r="D11" s="54" t="s">
        <v>51</v>
      </c>
      <c r="E11" s="72"/>
      <c r="G11" s="50" t="s">
        <v>52</v>
      </c>
      <c r="H11" s="72"/>
    </row>
    <row r="12" spans="1:13">
      <c r="A12" s="73"/>
      <c r="B12" s="74"/>
      <c r="D12" s="73"/>
      <c r="E12" s="74"/>
      <c r="G12" s="73"/>
      <c r="H12" s="74"/>
    </row>
    <row r="13" spans="1:13">
      <c r="A13" s="75"/>
      <c r="B13" s="76"/>
      <c r="D13" s="75"/>
      <c r="E13" s="76"/>
      <c r="G13" s="75"/>
      <c r="H13" s="76"/>
    </row>
    <row r="16" spans="1:13">
      <c r="A16" s="77" t="s">
        <v>53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pans="1:13">
      <c r="B17" s="53" t="s">
        <v>54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</row>
    <row r="18" spans="1:13"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spans="1:13"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2" spans="1:13">
      <c r="A22" s="71" t="s">
        <v>55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</row>
    <row r="23" spans="1:13">
      <c r="B23" s="17" t="s">
        <v>56</v>
      </c>
      <c r="C23" s="17" t="s">
        <v>57</v>
      </c>
      <c r="D23" s="17" t="s">
        <v>58</v>
      </c>
      <c r="E23" s="17" t="s">
        <v>59</v>
      </c>
      <c r="F23" s="17" t="s">
        <v>60</v>
      </c>
    </row>
    <row r="24" spans="1:13" ht="409.5" customHeight="1">
      <c r="B24" s="18" t="s">
        <v>61</v>
      </c>
      <c r="C24" s="9" t="s">
        <v>62</v>
      </c>
      <c r="D24" s="9" t="s">
        <v>63</v>
      </c>
      <c r="E24" s="9" t="s">
        <v>64</v>
      </c>
      <c r="F24" s="9" t="s">
        <v>65</v>
      </c>
    </row>
    <row r="25" spans="1:13" ht="330" customHeight="1">
      <c r="B25" s="18" t="s">
        <v>66</v>
      </c>
      <c r="C25" s="9" t="s">
        <v>67</v>
      </c>
      <c r="D25" s="9" t="s">
        <v>68</v>
      </c>
      <c r="E25" s="9" t="s">
        <v>69</v>
      </c>
      <c r="F25" s="9" t="s">
        <v>70</v>
      </c>
    </row>
    <row r="26" spans="1:13" ht="405" customHeight="1">
      <c r="B26" s="18" t="s">
        <v>71</v>
      </c>
      <c r="C26" s="9" t="s">
        <v>72</v>
      </c>
      <c r="D26" s="9" t="s">
        <v>73</v>
      </c>
      <c r="E26" s="9" t="s">
        <v>74</v>
      </c>
      <c r="F26" s="9" t="s">
        <v>75</v>
      </c>
    </row>
    <row r="27" spans="1:13" ht="409.5" customHeight="1">
      <c r="B27" s="18" t="s">
        <v>76</v>
      </c>
      <c r="C27" s="9" t="s">
        <v>77</v>
      </c>
      <c r="D27" s="9" t="s">
        <v>78</v>
      </c>
      <c r="E27" s="9" t="s">
        <v>79</v>
      </c>
      <c r="F27" s="9" t="s">
        <v>80</v>
      </c>
    </row>
    <row r="28" spans="1:13" ht="315" customHeight="1">
      <c r="B28" s="18" t="s">
        <v>81</v>
      </c>
      <c r="C28" s="9" t="s">
        <v>82</v>
      </c>
      <c r="D28" s="9" t="s">
        <v>83</v>
      </c>
      <c r="E28" s="9" t="s">
        <v>84</v>
      </c>
      <c r="F28" s="9" t="s">
        <v>85</v>
      </c>
    </row>
    <row r="29" spans="1:13" ht="195" customHeight="1">
      <c r="B29" s="18" t="s">
        <v>86</v>
      </c>
      <c r="C29" s="9" t="s">
        <v>87</v>
      </c>
      <c r="D29" s="9" t="s">
        <v>88</v>
      </c>
      <c r="E29" s="9" t="s">
        <v>89</v>
      </c>
      <c r="F29" s="9" t="s">
        <v>90</v>
      </c>
    </row>
    <row r="30" spans="1:13" ht="390" customHeight="1">
      <c r="B30" s="18" t="s">
        <v>91</v>
      </c>
      <c r="C30" s="9" t="s">
        <v>92</v>
      </c>
      <c r="D30" s="9" t="s">
        <v>93</v>
      </c>
      <c r="E30" s="9" t="s">
        <v>94</v>
      </c>
      <c r="F30" s="9" t="s">
        <v>95</v>
      </c>
    </row>
    <row r="33" spans="1:13">
      <c r="A33" s="77" t="s">
        <v>96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</row>
    <row r="34" spans="1:13">
      <c r="B34" s="13" t="s">
        <v>61</v>
      </c>
      <c r="C34" s="38" t="s">
        <v>97</v>
      </c>
      <c r="D34" s="69"/>
      <c r="E34" s="69"/>
      <c r="F34" s="69"/>
      <c r="G34" s="69"/>
      <c r="H34" s="69"/>
      <c r="I34" s="69"/>
      <c r="J34" s="69"/>
      <c r="K34" s="69"/>
      <c r="L34" s="69"/>
    </row>
    <row r="35" spans="1:13">
      <c r="B35" s="13" t="s">
        <v>66</v>
      </c>
      <c r="C35" s="38" t="s">
        <v>98</v>
      </c>
      <c r="D35" s="69"/>
      <c r="E35" s="69"/>
      <c r="F35" s="69"/>
      <c r="G35" s="69"/>
      <c r="H35" s="69"/>
      <c r="I35" s="69"/>
      <c r="J35" s="69"/>
      <c r="K35" s="69"/>
      <c r="L35" s="69"/>
    </row>
    <row r="36" spans="1:13">
      <c r="B36" s="14" t="s">
        <v>99</v>
      </c>
      <c r="C36" s="38" t="s">
        <v>100</v>
      </c>
      <c r="D36" s="69"/>
      <c r="E36" s="69"/>
      <c r="F36" s="69"/>
      <c r="G36" s="69"/>
      <c r="H36" s="69"/>
      <c r="I36" s="69"/>
      <c r="J36" s="69"/>
      <c r="K36" s="69"/>
      <c r="L36" s="69"/>
    </row>
    <row r="37" spans="1:13">
      <c r="B37" s="14" t="s">
        <v>101</v>
      </c>
      <c r="C37" s="38" t="s">
        <v>102</v>
      </c>
      <c r="D37" s="69"/>
      <c r="E37" s="69"/>
      <c r="F37" s="69"/>
      <c r="G37" s="69"/>
      <c r="H37" s="69"/>
      <c r="I37" s="69"/>
      <c r="J37" s="69"/>
      <c r="K37" s="69"/>
      <c r="L37" s="69"/>
    </row>
    <row r="38" spans="1:13">
      <c r="B38" s="15" t="s">
        <v>103</v>
      </c>
      <c r="C38" s="38" t="s">
        <v>104</v>
      </c>
      <c r="D38" s="69"/>
      <c r="E38" s="69"/>
      <c r="F38" s="69"/>
      <c r="G38" s="69"/>
      <c r="H38" s="69"/>
      <c r="I38" s="69"/>
      <c r="J38" s="69"/>
      <c r="K38" s="69"/>
      <c r="L38" s="69"/>
    </row>
    <row r="40" spans="1:13">
      <c r="A40" s="77" t="s">
        <v>105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</row>
    <row r="41" spans="1:13">
      <c r="B41" s="13" t="s">
        <v>61</v>
      </c>
      <c r="C41" s="38" t="s">
        <v>106</v>
      </c>
      <c r="D41" s="69"/>
      <c r="E41" s="69"/>
      <c r="F41" s="69"/>
      <c r="G41" s="69"/>
      <c r="H41" s="69"/>
      <c r="I41" s="69"/>
      <c r="J41" s="69"/>
      <c r="K41" s="69"/>
      <c r="L41" s="69"/>
    </row>
    <row r="42" spans="1:13">
      <c r="B42" s="13" t="s">
        <v>66</v>
      </c>
      <c r="C42" s="38" t="s">
        <v>107</v>
      </c>
      <c r="D42" s="69"/>
      <c r="E42" s="69"/>
      <c r="F42" s="69"/>
      <c r="G42" s="69"/>
      <c r="H42" s="69"/>
      <c r="I42" s="69"/>
      <c r="J42" s="69"/>
      <c r="K42" s="69"/>
      <c r="L42" s="69"/>
    </row>
    <row r="43" spans="1:13">
      <c r="B43" s="14" t="s">
        <v>99</v>
      </c>
      <c r="C43" s="38" t="s">
        <v>108</v>
      </c>
      <c r="D43" s="69"/>
      <c r="E43" s="69"/>
      <c r="F43" s="69"/>
      <c r="G43" s="69"/>
      <c r="H43" s="69"/>
      <c r="I43" s="69"/>
      <c r="J43" s="69"/>
      <c r="K43" s="69"/>
      <c r="L43" s="69"/>
    </row>
    <row r="44" spans="1:13">
      <c r="B44" s="14" t="s">
        <v>101</v>
      </c>
      <c r="C44" s="38" t="s">
        <v>109</v>
      </c>
      <c r="D44" s="69"/>
      <c r="E44" s="69"/>
      <c r="F44" s="69"/>
      <c r="G44" s="69"/>
      <c r="H44" s="69"/>
      <c r="I44" s="69"/>
      <c r="J44" s="69"/>
      <c r="K44" s="69"/>
      <c r="L44" s="69"/>
    </row>
    <row r="45" spans="1:13">
      <c r="B45" s="15" t="s">
        <v>103</v>
      </c>
      <c r="C45" s="38" t="s">
        <v>110</v>
      </c>
      <c r="D45" s="69"/>
      <c r="E45" s="69"/>
      <c r="F45" s="69"/>
      <c r="G45" s="69"/>
      <c r="H45" s="69"/>
      <c r="I45" s="69"/>
      <c r="J45" s="69"/>
      <c r="K45" s="69"/>
      <c r="L45" s="69"/>
    </row>
    <row r="47" spans="1:13">
      <c r="A47" s="77" t="s">
        <v>111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 spans="1:13">
      <c r="B48" s="13" t="s">
        <v>61</v>
      </c>
      <c r="C48" s="38" t="s">
        <v>112</v>
      </c>
      <c r="D48" s="69"/>
      <c r="E48" s="69"/>
      <c r="F48" s="69"/>
      <c r="G48" s="69"/>
      <c r="H48" s="69"/>
      <c r="I48" s="69"/>
      <c r="J48" s="69"/>
      <c r="K48" s="69"/>
      <c r="L48" s="69"/>
    </row>
    <row r="49" spans="2:12">
      <c r="B49" s="13" t="s">
        <v>66</v>
      </c>
      <c r="C49" s="38" t="s">
        <v>113</v>
      </c>
      <c r="D49" s="69"/>
      <c r="E49" s="69"/>
      <c r="F49" s="69"/>
      <c r="G49" s="69"/>
      <c r="H49" s="69"/>
      <c r="I49" s="69"/>
      <c r="J49" s="69"/>
      <c r="K49" s="69"/>
      <c r="L49" s="69"/>
    </row>
    <row r="50" spans="2:12">
      <c r="B50" s="14" t="s">
        <v>99</v>
      </c>
      <c r="C50" s="38" t="s">
        <v>114</v>
      </c>
      <c r="D50" s="69"/>
      <c r="E50" s="69"/>
      <c r="F50" s="69"/>
      <c r="G50" s="69"/>
      <c r="H50" s="69"/>
      <c r="I50" s="69"/>
      <c r="J50" s="69"/>
      <c r="K50" s="69"/>
      <c r="L50" s="69"/>
    </row>
    <row r="51" spans="2:12">
      <c r="B51" s="14" t="s">
        <v>101</v>
      </c>
      <c r="C51" s="38" t="s">
        <v>115</v>
      </c>
      <c r="D51" s="69"/>
      <c r="E51" s="69"/>
      <c r="F51" s="69"/>
      <c r="G51" s="69"/>
      <c r="H51" s="69"/>
      <c r="I51" s="69"/>
      <c r="J51" s="69"/>
      <c r="K51" s="69"/>
      <c r="L51" s="69"/>
    </row>
    <row r="52" spans="2:12">
      <c r="B52" s="15" t="s">
        <v>103</v>
      </c>
      <c r="C52" s="38" t="s">
        <v>116</v>
      </c>
      <c r="D52" s="69"/>
      <c r="E52" s="69"/>
      <c r="F52" s="69"/>
      <c r="G52" s="69"/>
      <c r="H52" s="69"/>
      <c r="I52" s="69"/>
      <c r="J52" s="69"/>
      <c r="K52" s="69"/>
      <c r="L52" s="69"/>
    </row>
  </sheetData>
  <mergeCells count="31">
    <mergeCell ref="C51:L51"/>
    <mergeCell ref="A33:M33"/>
    <mergeCell ref="C36:L36"/>
    <mergeCell ref="A47:M47"/>
    <mergeCell ref="C50:L50"/>
    <mergeCell ref="C44:L44"/>
    <mergeCell ref="C41:L41"/>
    <mergeCell ref="J7:K9"/>
    <mergeCell ref="A3:M3"/>
    <mergeCell ref="C43:L43"/>
    <mergeCell ref="D11:E13"/>
    <mergeCell ref="C45:L45"/>
    <mergeCell ref="D7:E9"/>
    <mergeCell ref="C35:L35"/>
    <mergeCell ref="A16:M16"/>
    <mergeCell ref="A5:M5"/>
    <mergeCell ref="A1:M2"/>
    <mergeCell ref="C52:L52"/>
    <mergeCell ref="C48:L48"/>
    <mergeCell ref="A22:M22"/>
    <mergeCell ref="C38:L38"/>
    <mergeCell ref="C37:L37"/>
    <mergeCell ref="A11:B13"/>
    <mergeCell ref="G11:H13"/>
    <mergeCell ref="C49:L49"/>
    <mergeCell ref="A40:M40"/>
    <mergeCell ref="C34:L34"/>
    <mergeCell ref="C42:L42"/>
    <mergeCell ref="A7:B9"/>
    <mergeCell ref="G7:H9"/>
    <mergeCell ref="B17:L19"/>
  </mergeCells>
  <hyperlinks>
    <hyperlink ref="A7" location="'Sources'!A1" display="1. SOURCE_x000a_What happened?" xr:uid="{00000000-0004-0000-0100-000000000000}"/>
    <hyperlink ref="D7" location="'Evidence Intake Form'!A1" display="2. CAPTURE_x000a_What did I learn?" xr:uid="{00000000-0004-0000-0100-000001000000}"/>
    <hyperlink ref="G7" location="'Evidence Library'!A1" display="3. QUALIFY_x000a_What do we know?" xr:uid="{00000000-0004-0000-0100-000002000000}"/>
    <hyperlink ref="J7" location="'Signal Builder'!A1" display="4. SIGNAL_x000a_What might it mean?" xr:uid="{00000000-0004-0000-0100-000003000000}"/>
    <hyperlink ref="A11" location="'Research Lineage'!A1" display="5. LINEAGE_x000a_Which evidence supports it?" xr:uid="{00000000-0004-0000-0100-000004000000}"/>
    <hyperlink ref="D11" location="'KPI Bridge'!A1" display="6. KPI_x000a_Why might it matter?" xr:uid="{00000000-0004-0000-0100-000005000000}"/>
    <hyperlink ref="G11" location="'Executive Brief'!A1" display="7. OUTPUT_x000a_What do we communicate?" xr:uid="{00000000-0004-0000-0100-000006000000}"/>
  </hyperlinks>
  <pageMargins left="0.75" right="0.75" top="1" bottom="1" header="0.5" footer="0.5"/>
  <headerFooter>
    <oddFooter>&amp;CREVEAL V4.0 Workflow Guide | Human Review Required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W61"/>
  <sheetViews>
    <sheetView showGridLines="0" workbookViewId="0">
      <pane xSplit="1" ySplit="8" topLeftCell="B9" activePane="bottomRight" state="frozen"/>
      <selection pane="bottomRight" sqref="A1:I2"/>
      <selection pane="bottomLeft"/>
      <selection pane="topRight"/>
    </sheetView>
  </sheetViews>
  <sheetFormatPr defaultRowHeight="15"/>
  <cols>
    <col min="1" max="1" width="3" customWidth="1"/>
    <col min="2" max="2" width="24" customWidth="1"/>
    <col min="3" max="8" width="23" customWidth="1"/>
    <col min="9" max="9" width="3" customWidth="1"/>
  </cols>
  <sheetData>
    <row r="1" spans="1:9">
      <c r="A1" s="48" t="s">
        <v>117</v>
      </c>
      <c r="B1" s="69"/>
      <c r="C1" s="69"/>
      <c r="D1" s="69"/>
      <c r="E1" s="69"/>
      <c r="F1" s="69"/>
      <c r="G1" s="69"/>
      <c r="H1" s="69"/>
      <c r="I1" s="69"/>
    </row>
    <row r="2" spans="1:9">
      <c r="A2" s="69"/>
      <c r="B2" s="69"/>
      <c r="C2" s="69"/>
      <c r="D2" s="69"/>
      <c r="E2" s="69"/>
      <c r="F2" s="69"/>
      <c r="G2" s="69"/>
      <c r="H2" s="69"/>
      <c r="I2" s="69"/>
    </row>
    <row r="3" spans="1:9">
      <c r="A3" s="55" t="s">
        <v>118</v>
      </c>
      <c r="B3" s="69"/>
      <c r="C3" s="69"/>
      <c r="D3" s="69"/>
      <c r="E3" s="69"/>
      <c r="F3" s="69"/>
      <c r="G3" s="69"/>
      <c r="H3" s="69"/>
      <c r="I3" s="69"/>
    </row>
    <row r="5" spans="1:9">
      <c r="B5" s="59" t="s">
        <v>119</v>
      </c>
      <c r="C5" s="69"/>
      <c r="D5" s="69"/>
      <c r="E5" s="69"/>
      <c r="F5" s="69"/>
      <c r="G5" s="69"/>
      <c r="H5" s="69"/>
    </row>
    <row r="7" spans="1:9">
      <c r="B7" s="1" t="s">
        <v>120</v>
      </c>
      <c r="C7" s="19" t="s">
        <v>121</v>
      </c>
      <c r="E7" s="58" t="s">
        <v>122</v>
      </c>
      <c r="F7" s="69"/>
      <c r="G7" s="69"/>
      <c r="H7" s="69"/>
    </row>
    <row r="9" spans="1:9" ht="30" customHeight="1">
      <c r="B9" s="5" t="s">
        <v>123</v>
      </c>
      <c r="C9" s="20"/>
      <c r="D9" s="8" t="s">
        <v>124</v>
      </c>
      <c r="E9" s="5" t="s">
        <v>125</v>
      </c>
      <c r="F9" s="20"/>
      <c r="G9" s="8" t="s">
        <v>126</v>
      </c>
    </row>
    <row r="11" spans="1:9" ht="30" customHeight="1">
      <c r="B11" s="5" t="s">
        <v>127</v>
      </c>
      <c r="C11" s="20" t="s">
        <v>128</v>
      </c>
      <c r="D11" s="8" t="s">
        <v>129</v>
      </c>
      <c r="E11" s="5" t="s">
        <v>130</v>
      </c>
      <c r="F11" s="20"/>
      <c r="G11" s="8" t="s">
        <v>131</v>
      </c>
    </row>
    <row r="13" spans="1:9" ht="30" customHeight="1">
      <c r="B13" s="5" t="s">
        <v>132</v>
      </c>
      <c r="C13" s="20"/>
      <c r="D13" s="8" t="s">
        <v>133</v>
      </c>
      <c r="E13" s="5" t="s">
        <v>134</v>
      </c>
      <c r="F13" s="20"/>
      <c r="G13" s="8" t="s">
        <v>135</v>
      </c>
    </row>
    <row r="15" spans="1:9" ht="45" customHeight="1">
      <c r="B15" s="5" t="s">
        <v>136</v>
      </c>
      <c r="C15" s="20"/>
      <c r="D15" s="8" t="s">
        <v>137</v>
      </c>
      <c r="E15" s="5" t="s">
        <v>138</v>
      </c>
      <c r="F15" s="20"/>
      <c r="G15" s="8" t="s">
        <v>139</v>
      </c>
    </row>
    <row r="17" spans="2:8" ht="30" customHeight="1">
      <c r="B17" s="5" t="s">
        <v>140</v>
      </c>
      <c r="C17" s="20"/>
      <c r="D17" s="8" t="s">
        <v>141</v>
      </c>
      <c r="E17" s="5" t="s">
        <v>142</v>
      </c>
      <c r="F17" s="20"/>
      <c r="G17" s="8" t="s">
        <v>143</v>
      </c>
    </row>
    <row r="19" spans="2:8" ht="45" customHeight="1">
      <c r="B19" s="5" t="s">
        <v>144</v>
      </c>
      <c r="C19" s="20"/>
      <c r="D19" s="8" t="s">
        <v>145</v>
      </c>
      <c r="E19" s="5" t="s">
        <v>146</v>
      </c>
      <c r="F19" s="20"/>
      <c r="G19" s="8" t="s">
        <v>147</v>
      </c>
    </row>
    <row r="21" spans="2:8" ht="30" customHeight="1">
      <c r="B21" s="5" t="s">
        <v>148</v>
      </c>
      <c r="C21" s="20"/>
      <c r="D21" s="8" t="s">
        <v>149</v>
      </c>
      <c r="E21" s="5" t="s">
        <v>150</v>
      </c>
      <c r="F21" s="20" t="s">
        <v>151</v>
      </c>
      <c r="G21" s="8" t="s">
        <v>152</v>
      </c>
    </row>
    <row r="23" spans="2:8" ht="45" customHeight="1">
      <c r="B23" s="5" t="s">
        <v>153</v>
      </c>
      <c r="C23" s="20"/>
      <c r="D23" s="8" t="s">
        <v>154</v>
      </c>
      <c r="E23" s="5" t="s">
        <v>155</v>
      </c>
      <c r="F23" s="20"/>
      <c r="G23" s="8" t="s">
        <v>156</v>
      </c>
    </row>
    <row r="25" spans="2:8">
      <c r="B25" s="78" t="s">
        <v>157</v>
      </c>
      <c r="C25" s="69"/>
      <c r="D25" s="69"/>
      <c r="E25" s="69"/>
      <c r="F25" s="69"/>
      <c r="G25" s="69"/>
      <c r="H25" s="69"/>
    </row>
    <row r="26" spans="2:8">
      <c r="B26" s="56" t="s">
        <v>158</v>
      </c>
      <c r="C26" s="79"/>
      <c r="D26" s="79"/>
      <c r="E26" s="79"/>
      <c r="F26" s="79"/>
      <c r="G26" s="79"/>
      <c r="H26" s="72"/>
    </row>
    <row r="27" spans="2:8">
      <c r="B27" s="73"/>
      <c r="C27" s="69"/>
      <c r="D27" s="69"/>
      <c r="E27" s="69"/>
      <c r="F27" s="69"/>
      <c r="G27" s="69"/>
      <c r="H27" s="74"/>
    </row>
    <row r="28" spans="2:8">
      <c r="B28" s="75"/>
      <c r="C28" s="80"/>
      <c r="D28" s="80"/>
      <c r="E28" s="80"/>
      <c r="F28" s="80"/>
      <c r="G28" s="80"/>
      <c r="H28" s="76"/>
    </row>
    <row r="30" spans="2:8">
      <c r="B30" s="78" t="s">
        <v>159</v>
      </c>
      <c r="C30" s="69"/>
      <c r="D30" s="69"/>
      <c r="E30" s="69"/>
      <c r="F30" s="69"/>
      <c r="G30" s="69"/>
      <c r="H30" s="69"/>
    </row>
    <row r="31" spans="2:8">
      <c r="B31" s="56" t="s">
        <v>160</v>
      </c>
      <c r="C31" s="79"/>
      <c r="D31" s="79"/>
      <c r="E31" s="79"/>
      <c r="F31" s="79"/>
      <c r="G31" s="79"/>
      <c r="H31" s="72"/>
    </row>
    <row r="32" spans="2:8">
      <c r="B32" s="73"/>
      <c r="C32" s="69"/>
      <c r="D32" s="69"/>
      <c r="E32" s="69"/>
      <c r="F32" s="69"/>
      <c r="G32" s="69"/>
      <c r="H32" s="74"/>
    </row>
    <row r="33" spans="2:8">
      <c r="B33" s="73"/>
      <c r="C33" s="69"/>
      <c r="D33" s="69"/>
      <c r="E33" s="69"/>
      <c r="F33" s="69"/>
      <c r="G33" s="69"/>
      <c r="H33" s="74"/>
    </row>
    <row r="34" spans="2:8">
      <c r="B34" s="75"/>
      <c r="C34" s="80"/>
      <c r="D34" s="80"/>
      <c r="E34" s="80"/>
      <c r="F34" s="80"/>
      <c r="G34" s="80"/>
      <c r="H34" s="76"/>
    </row>
    <row r="36" spans="2:8">
      <c r="B36" s="78" t="s">
        <v>161</v>
      </c>
      <c r="C36" s="69"/>
      <c r="D36" s="69"/>
      <c r="E36" s="69"/>
      <c r="F36" s="69"/>
      <c r="G36" s="69"/>
      <c r="H36" s="69"/>
    </row>
    <row r="37" spans="2:8">
      <c r="B37" s="56" t="s">
        <v>162</v>
      </c>
      <c r="C37" s="79"/>
      <c r="D37" s="79"/>
      <c r="E37" s="79"/>
      <c r="F37" s="79"/>
      <c r="G37" s="79"/>
      <c r="H37" s="72"/>
    </row>
    <row r="38" spans="2:8">
      <c r="B38" s="73"/>
      <c r="C38" s="69"/>
      <c r="D38" s="69"/>
      <c r="E38" s="69"/>
      <c r="F38" s="69"/>
      <c r="G38" s="69"/>
      <c r="H38" s="74"/>
    </row>
    <row r="39" spans="2:8">
      <c r="B39" s="75"/>
      <c r="C39" s="80"/>
      <c r="D39" s="80"/>
      <c r="E39" s="80"/>
      <c r="F39" s="80"/>
      <c r="G39" s="80"/>
      <c r="H39" s="76"/>
    </row>
    <row r="41" spans="2:8">
      <c r="B41" s="78" t="s">
        <v>163</v>
      </c>
      <c r="C41" s="69"/>
      <c r="D41" s="69"/>
      <c r="E41" s="69"/>
      <c r="F41" s="69"/>
      <c r="G41" s="69"/>
      <c r="H41" s="69"/>
    </row>
    <row r="42" spans="2:8">
      <c r="B42" s="56" t="s">
        <v>164</v>
      </c>
      <c r="C42" s="79"/>
      <c r="D42" s="79"/>
      <c r="E42" s="79"/>
      <c r="F42" s="79"/>
      <c r="G42" s="79"/>
      <c r="H42" s="72"/>
    </row>
    <row r="43" spans="2:8">
      <c r="B43" s="73"/>
      <c r="C43" s="69"/>
      <c r="D43" s="69"/>
      <c r="E43" s="69"/>
      <c r="F43" s="69"/>
      <c r="G43" s="69"/>
      <c r="H43" s="74"/>
    </row>
    <row r="44" spans="2:8">
      <c r="B44" s="75"/>
      <c r="C44" s="80"/>
      <c r="D44" s="80"/>
      <c r="E44" s="80"/>
      <c r="F44" s="80"/>
      <c r="G44" s="80"/>
      <c r="H44" s="76"/>
    </row>
    <row r="46" spans="2:8">
      <c r="B46" s="78" t="s">
        <v>165</v>
      </c>
      <c r="C46" s="69"/>
      <c r="D46" s="69"/>
      <c r="E46" s="69"/>
      <c r="F46" s="69"/>
      <c r="G46" s="69"/>
      <c r="H46" s="69"/>
    </row>
    <row r="47" spans="2:8">
      <c r="B47" s="56" t="s">
        <v>166</v>
      </c>
      <c r="C47" s="79"/>
      <c r="D47" s="79"/>
      <c r="E47" s="79"/>
      <c r="F47" s="79"/>
      <c r="G47" s="79"/>
      <c r="H47" s="72"/>
    </row>
    <row r="48" spans="2:8">
      <c r="B48" s="73"/>
      <c r="C48" s="69"/>
      <c r="D48" s="69"/>
      <c r="E48" s="69"/>
      <c r="F48" s="69"/>
      <c r="G48" s="69"/>
      <c r="H48" s="74"/>
    </row>
    <row r="49" spans="2:23">
      <c r="B49" s="75"/>
      <c r="C49" s="80"/>
      <c r="D49" s="80"/>
      <c r="E49" s="80"/>
      <c r="F49" s="80"/>
      <c r="G49" s="80"/>
      <c r="H49" s="76"/>
    </row>
    <row r="52" spans="2:23">
      <c r="B52" s="5" t="s">
        <v>167</v>
      </c>
      <c r="C52" s="81" t="str">
        <f>IF(C9="Client-provided fact","Evidence Library",IF(C9="ETR Interpretation","Signal Builder",IF(C9="Hypothesis","KPI Bridge",IF(C9="Open question","Research Queue",IF(C9="Recommended action","Research Queue / Outputs","Choose evidence class")))))</f>
        <v>Choose evidence class</v>
      </c>
      <c r="D52" s="69"/>
      <c r="E52" s="69"/>
      <c r="F52" s="82" t="s">
        <v>168</v>
      </c>
      <c r="G52" s="69"/>
      <c r="H52" s="69"/>
    </row>
    <row r="54" spans="2:23">
      <c r="B54" s="57" t="s">
        <v>169</v>
      </c>
      <c r="C54" s="69"/>
      <c r="D54" s="69"/>
      <c r="E54" s="69"/>
      <c r="F54" s="69"/>
      <c r="G54" s="69"/>
      <c r="H54" s="69"/>
    </row>
    <row r="55" spans="2:23">
      <c r="B55" s="69"/>
      <c r="C55" s="69"/>
      <c r="D55" s="69"/>
      <c r="E55" s="69"/>
      <c r="F55" s="69"/>
      <c r="G55" s="69"/>
      <c r="H55" s="69"/>
    </row>
    <row r="56" spans="2:23">
      <c r="B56" s="69"/>
      <c r="C56" s="69"/>
      <c r="D56" s="69"/>
      <c r="E56" s="69"/>
      <c r="F56" s="69"/>
      <c r="G56" s="69"/>
      <c r="H56" s="69"/>
    </row>
    <row r="59" spans="2:23">
      <c r="B59" s="71" t="s">
        <v>170</v>
      </c>
      <c r="C59" s="69"/>
      <c r="D59" s="69"/>
      <c r="E59" s="69"/>
      <c r="F59" s="69"/>
      <c r="G59" s="69"/>
      <c r="H59" s="69"/>
    </row>
    <row r="60" spans="2:23" ht="120" customHeight="1">
      <c r="B60" s="7" t="s">
        <v>171</v>
      </c>
      <c r="C60" s="7" t="s">
        <v>127</v>
      </c>
      <c r="D60" s="7" t="s">
        <v>172</v>
      </c>
      <c r="E60" s="7" t="s">
        <v>173</v>
      </c>
      <c r="F60" s="7" t="s">
        <v>130</v>
      </c>
      <c r="G60" s="7" t="s">
        <v>174</v>
      </c>
      <c r="H60" s="7" t="s">
        <v>175</v>
      </c>
      <c r="I60" s="7" t="s">
        <v>176</v>
      </c>
      <c r="J60" s="7" t="s">
        <v>177</v>
      </c>
      <c r="K60" s="7" t="s">
        <v>134</v>
      </c>
      <c r="L60" s="7" t="s">
        <v>140</v>
      </c>
      <c r="M60" s="7" t="s">
        <v>142</v>
      </c>
      <c r="N60" s="7" t="s">
        <v>144</v>
      </c>
      <c r="O60" s="7" t="s">
        <v>146</v>
      </c>
      <c r="P60" s="7" t="s">
        <v>178</v>
      </c>
      <c r="Q60" s="7" t="s">
        <v>179</v>
      </c>
      <c r="R60" s="7" t="s">
        <v>148</v>
      </c>
      <c r="S60" s="7" t="s">
        <v>150</v>
      </c>
      <c r="T60" s="7" t="s">
        <v>153</v>
      </c>
      <c r="U60" s="7" t="s">
        <v>180</v>
      </c>
      <c r="V60" s="7" t="s">
        <v>155</v>
      </c>
      <c r="W60" s="7" t="s">
        <v>181</v>
      </c>
    </row>
    <row r="61" spans="2:23" ht="69.95" customHeight="1">
      <c r="B61" s="22">
        <f>C13</f>
        <v>0</v>
      </c>
      <c r="C61" s="22" t="str">
        <f>C11</f>
        <v>CrowdStrike</v>
      </c>
      <c r="D61" s="22">
        <f>F9</f>
        <v>0</v>
      </c>
      <c r="E61" s="22">
        <f>C9</f>
        <v>0</v>
      </c>
      <c r="F61" s="22">
        <f>F11</f>
        <v>0</v>
      </c>
      <c r="G61" s="22" t="str">
        <f>B26</f>
        <v>Write a neutral, analyst-readable observation. Preserve exact wording where material.</v>
      </c>
      <c r="H61" s="22" t="str">
        <f>B31</f>
        <v>Paste the exact supported excerpt or describe the data point. Do not add conclusions.</v>
      </c>
      <c r="I61" s="22">
        <f>C15</f>
        <v>0</v>
      </c>
      <c r="J61" s="22">
        <f>F15</f>
        <v>0</v>
      </c>
      <c r="K61" s="22">
        <f>F13</f>
        <v>0</v>
      </c>
      <c r="L61" s="22">
        <f>C17</f>
        <v>0</v>
      </c>
      <c r="M61" s="22">
        <f>F17</f>
        <v>0</v>
      </c>
      <c r="N61" s="22">
        <f>C19</f>
        <v>0</v>
      </c>
      <c r="O61" s="22">
        <f>F19</f>
        <v>0</v>
      </c>
      <c r="P61" s="22" t="str">
        <f>B37</f>
        <v>Explain the potential research relevance. This may be interpretation, so keep the distinction visible.</v>
      </c>
      <c r="Q61" s="22" t="str">
        <f>B42</f>
        <v>Mandatory: sample limits, source bias, missing context, non-causality, or other constraints.</v>
      </c>
      <c r="R61" s="22">
        <f>C21</f>
        <v>0</v>
      </c>
      <c r="S61" s="22" t="str">
        <f>F21</f>
        <v>New</v>
      </c>
      <c r="T61" s="22">
        <f>C23</f>
        <v>0</v>
      </c>
      <c r="U61" s="22" t="str">
        <f>B47</f>
        <v>What should happen next: source verification, review, linkage, more interviews, or analysis.</v>
      </c>
      <c r="V61" s="22">
        <f>F23</f>
        <v>0</v>
      </c>
      <c r="W61" s="22" t="str">
        <f>C52</f>
        <v>Choose evidence class</v>
      </c>
    </row>
  </sheetData>
  <mergeCells count="18">
    <mergeCell ref="B59:H59"/>
    <mergeCell ref="B5:H5"/>
    <mergeCell ref="B42:H44"/>
    <mergeCell ref="B46:H46"/>
    <mergeCell ref="B26:H28"/>
    <mergeCell ref="A1:I2"/>
    <mergeCell ref="B30:H30"/>
    <mergeCell ref="E7:H7"/>
    <mergeCell ref="A3:I3"/>
    <mergeCell ref="B25:H25"/>
    <mergeCell ref="B37:H39"/>
    <mergeCell ref="B36:H36"/>
    <mergeCell ref="B31:H34"/>
    <mergeCell ref="B54:H56"/>
    <mergeCell ref="B41:H41"/>
    <mergeCell ref="C52:E52"/>
    <mergeCell ref="F52:H52"/>
    <mergeCell ref="B47:H49"/>
  </mergeCells>
  <pageMargins left="0.75" right="0.75" top="1" bottom="1" header="0.5" footer="0.5"/>
  <headerFooter>
    <oddFooter>&amp;CREVEAL V3.9 Evidence Intake Form | Human Review Required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  <pageSetUpPr fitToPage="1"/>
  </sheetPr>
  <dimension ref="A1:W110"/>
  <sheetViews>
    <sheetView showGridLines="0" workbookViewId="0">
      <pane xSplit="6" ySplit="10" topLeftCell="G11" activePane="bottomRight" state="frozen"/>
      <selection pane="bottomRight" activeCell="E11" sqref="E11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6" customWidth="1"/>
    <col min="4" max="4" width="25" customWidth="1"/>
    <col min="5" max="6" width="24" customWidth="1"/>
    <col min="7" max="7" width="22" customWidth="1"/>
    <col min="8" max="8" width="55" customWidth="1"/>
    <col min="9" max="9" width="42" customWidth="1"/>
    <col min="10" max="10" width="28" customWidth="1"/>
    <col min="11" max="11" width="38" customWidth="1"/>
    <col min="12" max="15" width="18" customWidth="1"/>
    <col min="16" max="17" width="38" customWidth="1"/>
    <col min="18" max="19" width="18" customWidth="1"/>
    <col min="20" max="20" width="20" customWidth="1"/>
    <col min="21" max="21" width="30" customWidth="1"/>
    <col min="22" max="22" width="20" customWidth="1"/>
    <col min="23" max="23" width="26" customWidth="1"/>
  </cols>
  <sheetData>
    <row r="1" spans="1:23">
      <c r="A1" s="37" t="s">
        <v>182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3" ht="33.950000000000003" customHeight="1">
      <c r="A3" s="47" t="s">
        <v>183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5" spans="1:23">
      <c r="A5" s="61" t="s">
        <v>184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3" t="s">
        <v>185</v>
      </c>
    </row>
    <row r="6" spans="1:23">
      <c r="A6" s="60" t="s">
        <v>186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</row>
    <row r="7" spans="1:2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</row>
    <row r="8" spans="1:2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</row>
    <row r="10" spans="1:23">
      <c r="A10" s="23" t="s">
        <v>187</v>
      </c>
      <c r="B10" s="23" t="s">
        <v>171</v>
      </c>
      <c r="C10" s="23" t="s">
        <v>127</v>
      </c>
      <c r="D10" s="23" t="s">
        <v>172</v>
      </c>
      <c r="E10" s="23" t="s">
        <v>173</v>
      </c>
      <c r="F10" s="23" t="s">
        <v>130</v>
      </c>
      <c r="G10" s="23" t="s">
        <v>174</v>
      </c>
      <c r="H10" s="23" t="s">
        <v>175</v>
      </c>
      <c r="I10" s="23" t="s">
        <v>176</v>
      </c>
      <c r="J10" s="23" t="s">
        <v>177</v>
      </c>
      <c r="K10" s="23" t="s">
        <v>134</v>
      </c>
      <c r="L10" s="23" t="s">
        <v>140</v>
      </c>
      <c r="M10" s="23" t="s">
        <v>142</v>
      </c>
      <c r="N10" s="23" t="s">
        <v>144</v>
      </c>
      <c r="O10" s="23" t="s">
        <v>146</v>
      </c>
      <c r="P10" s="23" t="s">
        <v>178</v>
      </c>
      <c r="Q10" s="23" t="s">
        <v>179</v>
      </c>
      <c r="R10" s="23" t="s">
        <v>148</v>
      </c>
      <c r="S10" s="23" t="s">
        <v>150</v>
      </c>
      <c r="T10" s="23" t="s">
        <v>153</v>
      </c>
      <c r="U10" s="23" t="s">
        <v>180</v>
      </c>
      <c r="V10" s="23" t="s">
        <v>155</v>
      </c>
      <c r="W10" t="s">
        <v>181</v>
      </c>
    </row>
    <row r="11" spans="1:23" ht="60.75" customHeight="1">
      <c r="A11" s="22" t="s">
        <v>188</v>
      </c>
      <c r="B11" s="22"/>
      <c r="C11" s="22"/>
      <c r="D11" s="22" t="s">
        <v>189</v>
      </c>
      <c r="E11" s="22" t="s">
        <v>190</v>
      </c>
      <c r="F11" s="22" t="s">
        <v>191</v>
      </c>
      <c r="G11" s="22" t="s">
        <v>192</v>
      </c>
      <c r="H11" s="22" t="s">
        <v>193</v>
      </c>
      <c r="I11" s="22"/>
      <c r="J11" s="22"/>
      <c r="K11" s="22"/>
      <c r="L11" s="22"/>
      <c r="M11" s="22"/>
      <c r="N11" s="22"/>
      <c r="O11" s="22"/>
      <c r="P11" s="22" t="s">
        <v>194</v>
      </c>
      <c r="Q11" s="22" t="s">
        <v>195</v>
      </c>
      <c r="R11" s="22" t="s">
        <v>196</v>
      </c>
      <c r="S11" s="22" t="s">
        <v>151</v>
      </c>
      <c r="T11" s="22"/>
      <c r="U11" s="22" t="s">
        <v>197</v>
      </c>
      <c r="V11" s="22"/>
      <c r="W11" s="19" t="s">
        <v>67</v>
      </c>
    </row>
    <row r="12" spans="1:23" ht="75" customHeight="1">
      <c r="A12" s="10" t="s">
        <v>198</v>
      </c>
      <c r="B12" s="10"/>
      <c r="C12" s="10"/>
      <c r="D12" s="10" t="s">
        <v>199</v>
      </c>
      <c r="E12" s="10" t="s">
        <v>200</v>
      </c>
      <c r="F12" s="10" t="s">
        <v>201</v>
      </c>
      <c r="G12" s="10" t="s">
        <v>202</v>
      </c>
      <c r="H12" s="10" t="s">
        <v>203</v>
      </c>
      <c r="I12" s="10"/>
      <c r="J12" s="10"/>
      <c r="K12" s="10"/>
      <c r="L12" s="10"/>
      <c r="M12" s="10"/>
      <c r="N12" s="10"/>
      <c r="O12" s="10"/>
      <c r="P12" s="10" t="s">
        <v>204</v>
      </c>
      <c r="Q12" s="10" t="s">
        <v>205</v>
      </c>
      <c r="R12" s="10" t="s">
        <v>196</v>
      </c>
      <c r="S12" s="10" t="s">
        <v>151</v>
      </c>
      <c r="T12" s="10"/>
      <c r="U12" s="10" t="s">
        <v>206</v>
      </c>
      <c r="V12" s="10"/>
      <c r="W12" s="24" t="s">
        <v>67</v>
      </c>
    </row>
    <row r="13" spans="1:23" ht="60" customHeight="1">
      <c r="A13" s="25" t="s">
        <v>207</v>
      </c>
      <c r="B13" s="25"/>
      <c r="C13" s="25"/>
      <c r="D13" s="25" t="s">
        <v>208</v>
      </c>
      <c r="E13" s="25" t="s">
        <v>200</v>
      </c>
      <c r="F13" s="25" t="s">
        <v>209</v>
      </c>
      <c r="G13" s="25" t="s">
        <v>210</v>
      </c>
      <c r="H13" s="25" t="s">
        <v>211</v>
      </c>
      <c r="I13" s="25"/>
      <c r="J13" s="25"/>
      <c r="K13" s="25"/>
      <c r="L13" s="25"/>
      <c r="M13" s="25"/>
      <c r="N13" s="25"/>
      <c r="O13" s="25"/>
      <c r="P13" s="25" t="s">
        <v>212</v>
      </c>
      <c r="Q13" s="25" t="s">
        <v>213</v>
      </c>
      <c r="R13" s="25" t="s">
        <v>214</v>
      </c>
      <c r="S13" s="25" t="s">
        <v>215</v>
      </c>
      <c r="T13" s="25"/>
      <c r="U13" s="25" t="s">
        <v>216</v>
      </c>
      <c r="V13" s="25"/>
      <c r="W13" s="26" t="s">
        <v>67</v>
      </c>
    </row>
    <row r="14" spans="1:23">
      <c r="A14" s="27" t="str">
        <f>IF(G14="","","IN-"&amp;TEXT(B14,"yyyymmdd")&amp;"-"&amp;TEXT(ROW()-10,"000"))</f>
        <v/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7"/>
      <c r="W14" s="4" t="str">
        <f>IF(E14="","",IF(E14="Client-provided fact","Evidence Library",IF(E14="ETR Interpretation","Signal Builder",IF(E14="Hypothesis","KPI Bridge",IF(E14="Open question","Research Queue",IF(E14="Recommended action","Research Queue / Outputs","Needs Review"))))))</f>
        <v/>
      </c>
    </row>
    <row r="15" spans="1:23">
      <c r="A15" s="27" t="str">
        <f>IF(G15="","","IN-"&amp;TEXT(B15,"yyyymmdd")&amp;"-"&amp;TEXT(ROW()-10,"000"))</f>
        <v/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7"/>
      <c r="W15" s="4" t="str">
        <f>IF(E15="","",IF(E15="Client-provided fact","Evidence Library",IF(E15="ETR Interpretation","Signal Builder",IF(E15="Hypothesis","KPI Bridge",IF(E15="Open question","Research Queue",IF(E15="Recommended action","Research Queue / Outputs","Needs Review"))))))</f>
        <v/>
      </c>
    </row>
    <row r="16" spans="1:23">
      <c r="A16" s="27" t="str">
        <f>IF(G16="","","IN-"&amp;TEXT(B16,"yyyymmdd")&amp;"-"&amp;TEXT(ROW()-10,"000"))</f>
        <v/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7"/>
      <c r="W16" s="4" t="str">
        <f>IF(E16="","",IF(E16="Client-provided fact","Evidence Library",IF(E16="ETR Interpretation","Signal Builder",IF(E16="Hypothesis","KPI Bridge",IF(E16="Open question","Research Queue",IF(E16="Recommended action","Research Queue / Outputs","Needs Review"))))))</f>
        <v/>
      </c>
    </row>
    <row r="17" spans="1:23">
      <c r="A17" s="27" t="str">
        <f>IF(G17="","","IN-"&amp;TEXT(B17,"yyyymmdd")&amp;"-"&amp;TEXT(ROW()-10,"000"))</f>
        <v/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7"/>
      <c r="W17" s="4" t="str">
        <f>IF(E17="","",IF(E17="Client-provided fact","Evidence Library",IF(E17="ETR Interpretation","Signal Builder",IF(E17="Hypothesis","KPI Bridge",IF(E17="Open question","Research Queue",IF(E17="Recommended action","Research Queue / Outputs","Needs Review"))))))</f>
        <v/>
      </c>
    </row>
    <row r="18" spans="1:23">
      <c r="A18" s="27" t="str">
        <f>IF(G18="","","IN-"&amp;TEXT(B18,"yyyymmdd")&amp;"-"&amp;TEXT(ROW()-10,"000"))</f>
        <v/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7"/>
      <c r="W18" s="4" t="str">
        <f>IF(E18="","",IF(E18="Client-provided fact","Evidence Library",IF(E18="ETR Interpretation","Signal Builder",IF(E18="Hypothesis","KPI Bridge",IF(E18="Open question","Research Queue",IF(E18="Recommended action","Research Queue / Outputs","Needs Review"))))))</f>
        <v/>
      </c>
    </row>
    <row r="19" spans="1:23">
      <c r="A19" s="27" t="str">
        <f>IF(G19="","","IN-"&amp;TEXT(B19,"yyyymmdd")&amp;"-"&amp;TEXT(ROW()-10,"000"))</f>
        <v/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7"/>
      <c r="W19" s="4" t="str">
        <f>IF(E19="","",IF(E19="Client-provided fact","Evidence Library",IF(E19="ETR Interpretation","Signal Builder",IF(E19="Hypothesis","KPI Bridge",IF(E19="Open question","Research Queue",IF(E19="Recommended action","Research Queue / Outputs","Needs Review"))))))</f>
        <v/>
      </c>
    </row>
    <row r="20" spans="1:23">
      <c r="A20" s="27" t="str">
        <f>IF(G20="","","IN-"&amp;TEXT(B20,"yyyymmdd")&amp;"-"&amp;TEXT(ROW()-10,"000"))</f>
        <v/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7"/>
      <c r="W20" s="4" t="str">
        <f>IF(E20="","",IF(E20="Client-provided fact","Evidence Library",IF(E20="ETR Interpretation","Signal Builder",IF(E20="Hypothesis","KPI Bridge",IF(E20="Open question","Research Queue",IF(E20="Recommended action","Research Queue / Outputs","Needs Review"))))))</f>
        <v/>
      </c>
    </row>
    <row r="21" spans="1:23">
      <c r="A21" s="27" t="str">
        <f>IF(G21="","","IN-"&amp;TEXT(B21,"yyyymmdd")&amp;"-"&amp;TEXT(ROW()-10,"000"))</f>
        <v/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7"/>
      <c r="W21" s="4" t="str">
        <f>IF(E21="","",IF(E21="Client-provided fact","Evidence Library",IF(E21="ETR Interpretation","Signal Builder",IF(E21="Hypothesis","KPI Bridge",IF(E21="Open question","Research Queue",IF(E21="Recommended action","Research Queue / Outputs","Needs Review"))))))</f>
        <v/>
      </c>
    </row>
    <row r="22" spans="1:23">
      <c r="A22" s="27" t="str">
        <f>IF(G22="","","IN-"&amp;TEXT(B22,"yyyymmdd")&amp;"-"&amp;TEXT(ROW()-10,"000"))</f>
        <v/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7"/>
      <c r="W22" s="4" t="str">
        <f>IF(E22="","",IF(E22="Client-provided fact","Evidence Library",IF(E22="ETR Interpretation","Signal Builder",IF(E22="Hypothesis","KPI Bridge",IF(E22="Open question","Research Queue",IF(E22="Recommended action","Research Queue / Outputs","Needs Review"))))))</f>
        <v/>
      </c>
    </row>
    <row r="23" spans="1:23">
      <c r="A23" s="27" t="str">
        <f>IF(G23="","","IN-"&amp;TEXT(B23,"yyyymmdd")&amp;"-"&amp;TEXT(ROW()-10,"000"))</f>
        <v/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7"/>
      <c r="W23" s="4" t="str">
        <f>IF(E23="","",IF(E23="Client-provided fact","Evidence Library",IF(E23="ETR Interpretation","Signal Builder",IF(E23="Hypothesis","KPI Bridge",IF(E23="Open question","Research Queue",IF(E23="Recommended action","Research Queue / Outputs","Needs Review"))))))</f>
        <v/>
      </c>
    </row>
    <row r="24" spans="1:23">
      <c r="A24" s="27" t="str">
        <f>IF(G24="","","IN-"&amp;TEXT(B24,"yyyymmdd")&amp;"-"&amp;TEXT(ROW()-10,"000"))</f>
        <v/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7"/>
      <c r="W24" s="4" t="str">
        <f>IF(E24="","",IF(E24="Client-provided fact","Evidence Library",IF(E24="ETR Interpretation","Signal Builder",IF(E24="Hypothesis","KPI Bridge",IF(E24="Open question","Research Queue",IF(E24="Recommended action","Research Queue / Outputs","Needs Review"))))))</f>
        <v/>
      </c>
    </row>
    <row r="25" spans="1:23">
      <c r="A25" s="27" t="str">
        <f>IF(G25="","","IN-"&amp;TEXT(B25,"yyyymmdd")&amp;"-"&amp;TEXT(ROW()-10,"000"))</f>
        <v/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7"/>
      <c r="W25" s="4" t="str">
        <f>IF(E25="","",IF(E25="Client-provided fact","Evidence Library",IF(E25="ETR Interpretation","Signal Builder",IF(E25="Hypothesis","KPI Bridge",IF(E25="Open question","Research Queue",IF(E25="Recommended action","Research Queue / Outputs","Needs Review"))))))</f>
        <v/>
      </c>
    </row>
    <row r="26" spans="1:23">
      <c r="A26" s="27" t="str">
        <f>IF(G26="","","IN-"&amp;TEXT(B26,"yyyymmdd")&amp;"-"&amp;TEXT(ROW()-10,"000"))</f>
        <v/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7"/>
      <c r="W26" s="4" t="str">
        <f>IF(E26="","",IF(E26="Client-provided fact","Evidence Library",IF(E26="ETR Interpretation","Signal Builder",IF(E26="Hypothesis","KPI Bridge",IF(E26="Open question","Research Queue",IF(E26="Recommended action","Research Queue / Outputs","Needs Review"))))))</f>
        <v/>
      </c>
    </row>
    <row r="27" spans="1:23">
      <c r="A27" s="27" t="str">
        <f>IF(G27="","","IN-"&amp;TEXT(B27,"yyyymmdd")&amp;"-"&amp;TEXT(ROW()-10,"000"))</f>
        <v/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7"/>
      <c r="W27" s="4" t="str">
        <f>IF(E27="","",IF(E27="Client-provided fact","Evidence Library",IF(E27="ETR Interpretation","Signal Builder",IF(E27="Hypothesis","KPI Bridge",IF(E27="Open question","Research Queue",IF(E27="Recommended action","Research Queue / Outputs","Needs Review"))))))</f>
        <v/>
      </c>
    </row>
    <row r="28" spans="1:23">
      <c r="A28" s="27" t="str">
        <f>IF(G28="","","IN-"&amp;TEXT(B28,"yyyymmdd")&amp;"-"&amp;TEXT(ROW()-10,"000"))</f>
        <v/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7"/>
      <c r="W28" s="4" t="str">
        <f>IF(E28="","",IF(E28="Client-provided fact","Evidence Library",IF(E28="ETR Interpretation","Signal Builder",IF(E28="Hypothesis","KPI Bridge",IF(E28="Open question","Research Queue",IF(E28="Recommended action","Research Queue / Outputs","Needs Review"))))))</f>
        <v/>
      </c>
    </row>
    <row r="29" spans="1:23">
      <c r="A29" s="27" t="str">
        <f>IF(G29="","","IN-"&amp;TEXT(B29,"yyyymmdd")&amp;"-"&amp;TEXT(ROW()-10,"000"))</f>
        <v/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7"/>
      <c r="W29" s="4" t="str">
        <f>IF(E29="","",IF(E29="Client-provided fact","Evidence Library",IF(E29="ETR Interpretation","Signal Builder",IF(E29="Hypothesis","KPI Bridge",IF(E29="Open question","Research Queue",IF(E29="Recommended action","Research Queue / Outputs","Needs Review"))))))</f>
        <v/>
      </c>
    </row>
    <row r="30" spans="1:23">
      <c r="A30" s="27" t="str">
        <f>IF(G30="","","IN-"&amp;TEXT(B30,"yyyymmdd")&amp;"-"&amp;TEXT(ROW()-10,"000"))</f>
        <v/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7"/>
      <c r="W30" s="4" t="str">
        <f>IF(E30="","",IF(E30="Client-provided fact","Evidence Library",IF(E30="ETR Interpretation","Signal Builder",IF(E30="Hypothesis","KPI Bridge",IF(E30="Open question","Research Queue",IF(E30="Recommended action","Research Queue / Outputs","Needs Review"))))))</f>
        <v/>
      </c>
    </row>
    <row r="31" spans="1:23">
      <c r="A31" s="27" t="str">
        <f>IF(G31="","","IN-"&amp;TEXT(B31,"yyyymmdd")&amp;"-"&amp;TEXT(ROW()-10,"000"))</f>
        <v/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7"/>
      <c r="W31" s="4" t="str">
        <f>IF(E31="","",IF(E31="Client-provided fact","Evidence Library",IF(E31="ETR Interpretation","Signal Builder",IF(E31="Hypothesis","KPI Bridge",IF(E31="Open question","Research Queue",IF(E31="Recommended action","Research Queue / Outputs","Needs Review"))))))</f>
        <v/>
      </c>
    </row>
    <row r="32" spans="1:23">
      <c r="A32" s="27" t="str">
        <f>IF(G32="","","IN-"&amp;TEXT(B32,"yyyymmdd")&amp;"-"&amp;TEXT(ROW()-10,"000"))</f>
        <v/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7"/>
      <c r="W32" s="4" t="str">
        <f>IF(E32="","",IF(E32="Client-provided fact","Evidence Library",IF(E32="ETR Interpretation","Signal Builder",IF(E32="Hypothesis","KPI Bridge",IF(E32="Open question","Research Queue",IF(E32="Recommended action","Research Queue / Outputs","Needs Review"))))))</f>
        <v/>
      </c>
    </row>
    <row r="33" spans="1:23">
      <c r="A33" s="27" t="str">
        <f>IF(G33="","","IN-"&amp;TEXT(B33,"yyyymmdd")&amp;"-"&amp;TEXT(ROW()-10,"000"))</f>
        <v/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7"/>
      <c r="W33" s="4" t="str">
        <f>IF(E33="","",IF(E33="Client-provided fact","Evidence Library",IF(E33="ETR Interpretation","Signal Builder",IF(E33="Hypothesis","KPI Bridge",IF(E33="Open question","Research Queue",IF(E33="Recommended action","Research Queue / Outputs","Needs Review"))))))</f>
        <v/>
      </c>
    </row>
    <row r="34" spans="1:23">
      <c r="A34" s="27" t="str">
        <f>IF(G34="","","IN-"&amp;TEXT(B34,"yyyymmdd")&amp;"-"&amp;TEXT(ROW()-10,"000"))</f>
        <v/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7"/>
      <c r="W34" s="4" t="str">
        <f>IF(E34="","",IF(E34="Client-provided fact","Evidence Library",IF(E34="ETR Interpretation","Signal Builder",IF(E34="Hypothesis","KPI Bridge",IF(E34="Open question","Research Queue",IF(E34="Recommended action","Research Queue / Outputs","Needs Review"))))))</f>
        <v/>
      </c>
    </row>
    <row r="35" spans="1:23">
      <c r="A35" s="27" t="str">
        <f>IF(G35="","","IN-"&amp;TEXT(B35,"yyyymmdd")&amp;"-"&amp;TEXT(ROW()-10,"000"))</f>
        <v/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7"/>
      <c r="W35" s="4" t="str">
        <f>IF(E35="","",IF(E35="Client-provided fact","Evidence Library",IF(E35="ETR Interpretation","Signal Builder",IF(E35="Hypothesis","KPI Bridge",IF(E35="Open question","Research Queue",IF(E35="Recommended action","Research Queue / Outputs","Needs Review"))))))</f>
        <v/>
      </c>
    </row>
    <row r="36" spans="1:23">
      <c r="A36" s="27" t="str">
        <f>IF(G36="","","IN-"&amp;TEXT(B36,"yyyymmdd")&amp;"-"&amp;TEXT(ROW()-10,"000"))</f>
        <v/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7"/>
      <c r="W36" s="4" t="str">
        <f>IF(E36="","",IF(E36="Client-provided fact","Evidence Library",IF(E36="ETR Interpretation","Signal Builder",IF(E36="Hypothesis","KPI Bridge",IF(E36="Open question","Research Queue",IF(E36="Recommended action","Research Queue / Outputs","Needs Review"))))))</f>
        <v/>
      </c>
    </row>
    <row r="37" spans="1:23">
      <c r="A37" s="27" t="str">
        <f>IF(G37="","","IN-"&amp;TEXT(B37,"yyyymmdd")&amp;"-"&amp;TEXT(ROW()-10,"000"))</f>
        <v/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7"/>
      <c r="W37" s="4" t="str">
        <f>IF(E37="","",IF(E37="Client-provided fact","Evidence Library",IF(E37="ETR Interpretation","Signal Builder",IF(E37="Hypothesis","KPI Bridge",IF(E37="Open question","Research Queue",IF(E37="Recommended action","Research Queue / Outputs","Needs Review"))))))</f>
        <v/>
      </c>
    </row>
    <row r="38" spans="1:23">
      <c r="A38" s="27" t="str">
        <f>IF(G38="","","IN-"&amp;TEXT(B38,"yyyymmdd")&amp;"-"&amp;TEXT(ROW()-10,"000"))</f>
        <v/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7"/>
      <c r="W38" s="4" t="str">
        <f>IF(E38="","",IF(E38="Client-provided fact","Evidence Library",IF(E38="ETR Interpretation","Signal Builder",IF(E38="Hypothesis","KPI Bridge",IF(E38="Open question","Research Queue",IF(E38="Recommended action","Research Queue / Outputs","Needs Review"))))))</f>
        <v/>
      </c>
    </row>
    <row r="39" spans="1:23">
      <c r="A39" s="27" t="str">
        <f>IF(G39="","","IN-"&amp;TEXT(B39,"yyyymmdd")&amp;"-"&amp;TEXT(ROW()-10,"000"))</f>
        <v/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7"/>
      <c r="W39" s="4" t="str">
        <f>IF(E39="","",IF(E39="Client-provided fact","Evidence Library",IF(E39="ETR Interpretation","Signal Builder",IF(E39="Hypothesis","KPI Bridge",IF(E39="Open question","Research Queue",IF(E39="Recommended action","Research Queue / Outputs","Needs Review"))))))</f>
        <v/>
      </c>
    </row>
    <row r="40" spans="1:23">
      <c r="A40" s="27" t="str">
        <f>IF(G40="","","IN-"&amp;TEXT(B40,"yyyymmdd")&amp;"-"&amp;TEXT(ROW()-10,"000"))</f>
        <v/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7"/>
      <c r="W40" s="4" t="str">
        <f>IF(E40="","",IF(E40="Client-provided fact","Evidence Library",IF(E40="ETR Interpretation","Signal Builder",IF(E40="Hypothesis","KPI Bridge",IF(E40="Open question","Research Queue",IF(E40="Recommended action","Research Queue / Outputs","Needs Review"))))))</f>
        <v/>
      </c>
    </row>
    <row r="41" spans="1:23">
      <c r="A41" s="27" t="str">
        <f>IF(G41="","","IN-"&amp;TEXT(B41,"yyyymmdd")&amp;"-"&amp;TEXT(ROW()-10,"000"))</f>
        <v/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7"/>
      <c r="W41" s="4" t="str">
        <f>IF(E41="","",IF(E41="Client-provided fact","Evidence Library",IF(E41="ETR Interpretation","Signal Builder",IF(E41="Hypothesis","KPI Bridge",IF(E41="Open question","Research Queue",IF(E41="Recommended action","Research Queue / Outputs","Needs Review"))))))</f>
        <v/>
      </c>
    </row>
    <row r="42" spans="1:23">
      <c r="A42" s="27" t="str">
        <f>IF(G42="","","IN-"&amp;TEXT(B42,"yyyymmdd")&amp;"-"&amp;TEXT(ROW()-10,"000"))</f>
        <v/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7"/>
      <c r="W42" s="4" t="str">
        <f>IF(E42="","",IF(E42="Client-provided fact","Evidence Library",IF(E42="ETR Interpretation","Signal Builder",IF(E42="Hypothesis","KPI Bridge",IF(E42="Open question","Research Queue",IF(E42="Recommended action","Research Queue / Outputs","Needs Review"))))))</f>
        <v/>
      </c>
    </row>
    <row r="43" spans="1:23">
      <c r="A43" s="27" t="str">
        <f>IF(G43="","","IN-"&amp;TEXT(B43,"yyyymmdd")&amp;"-"&amp;TEXT(ROW()-10,"000"))</f>
        <v/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7"/>
      <c r="W43" s="4" t="str">
        <f>IF(E43="","",IF(E43="Client-provided fact","Evidence Library",IF(E43="ETR Interpretation","Signal Builder",IF(E43="Hypothesis","KPI Bridge",IF(E43="Open question","Research Queue",IF(E43="Recommended action","Research Queue / Outputs","Needs Review"))))))</f>
        <v/>
      </c>
    </row>
    <row r="44" spans="1:23">
      <c r="A44" s="27" t="str">
        <f>IF(G44="","","IN-"&amp;TEXT(B44,"yyyymmdd")&amp;"-"&amp;TEXT(ROW()-10,"000"))</f>
        <v/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7"/>
      <c r="W44" s="4" t="str">
        <f>IF(E44="","",IF(E44="Client-provided fact","Evidence Library",IF(E44="ETR Interpretation","Signal Builder",IF(E44="Hypothesis","KPI Bridge",IF(E44="Open question","Research Queue",IF(E44="Recommended action","Research Queue / Outputs","Needs Review"))))))</f>
        <v/>
      </c>
    </row>
    <row r="45" spans="1:23">
      <c r="A45" s="27" t="str">
        <f>IF(G45="","","IN-"&amp;TEXT(B45,"yyyymmdd")&amp;"-"&amp;TEXT(ROW()-10,"000"))</f>
        <v/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7"/>
      <c r="W45" s="4" t="str">
        <f>IF(E45="","",IF(E45="Client-provided fact","Evidence Library",IF(E45="ETR Interpretation","Signal Builder",IF(E45="Hypothesis","KPI Bridge",IF(E45="Open question","Research Queue",IF(E45="Recommended action","Research Queue / Outputs","Needs Review"))))))</f>
        <v/>
      </c>
    </row>
    <row r="46" spans="1:23">
      <c r="A46" s="27" t="str">
        <f>IF(G46="","","IN-"&amp;TEXT(B46,"yyyymmdd")&amp;"-"&amp;TEXT(ROW()-10,"000"))</f>
        <v/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7"/>
      <c r="W46" s="4" t="str">
        <f>IF(E46="","",IF(E46="Client-provided fact","Evidence Library",IF(E46="ETR Interpretation","Signal Builder",IF(E46="Hypothesis","KPI Bridge",IF(E46="Open question","Research Queue",IF(E46="Recommended action","Research Queue / Outputs","Needs Review"))))))</f>
        <v/>
      </c>
    </row>
    <row r="47" spans="1:23">
      <c r="A47" s="27" t="str">
        <f>IF(G47="","","IN-"&amp;TEXT(B47,"yyyymmdd")&amp;"-"&amp;TEXT(ROW()-10,"000"))</f>
        <v/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7"/>
      <c r="W47" s="4" t="str">
        <f>IF(E47="","",IF(E47="Client-provided fact","Evidence Library",IF(E47="ETR Interpretation","Signal Builder",IF(E47="Hypothesis","KPI Bridge",IF(E47="Open question","Research Queue",IF(E47="Recommended action","Research Queue / Outputs","Needs Review"))))))</f>
        <v/>
      </c>
    </row>
    <row r="48" spans="1:23">
      <c r="A48" s="27" t="str">
        <f>IF(G48="","","IN-"&amp;TEXT(B48,"yyyymmdd")&amp;"-"&amp;TEXT(ROW()-10,"000"))</f>
        <v/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7"/>
      <c r="W48" s="4" t="str">
        <f>IF(E48="","",IF(E48="Client-provided fact","Evidence Library",IF(E48="ETR Interpretation","Signal Builder",IF(E48="Hypothesis","KPI Bridge",IF(E48="Open question","Research Queue",IF(E48="Recommended action","Research Queue / Outputs","Needs Review"))))))</f>
        <v/>
      </c>
    </row>
    <row r="49" spans="1:23">
      <c r="A49" s="27" t="str">
        <f>IF(G49="","","IN-"&amp;TEXT(B49,"yyyymmdd")&amp;"-"&amp;TEXT(ROW()-10,"000"))</f>
        <v/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7"/>
      <c r="W49" s="4" t="str">
        <f>IF(E49="","",IF(E49="Client-provided fact","Evidence Library",IF(E49="ETR Interpretation","Signal Builder",IF(E49="Hypothesis","KPI Bridge",IF(E49="Open question","Research Queue",IF(E49="Recommended action","Research Queue / Outputs","Needs Review"))))))</f>
        <v/>
      </c>
    </row>
    <row r="50" spans="1:23">
      <c r="A50" s="27" t="str">
        <f>IF(G50="","","IN-"&amp;TEXT(B50,"yyyymmdd")&amp;"-"&amp;TEXT(ROW()-10,"000"))</f>
        <v/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7"/>
      <c r="W50" s="4" t="str">
        <f>IF(E50="","",IF(E50="Client-provided fact","Evidence Library",IF(E50="ETR Interpretation","Signal Builder",IF(E50="Hypothesis","KPI Bridge",IF(E50="Open question","Research Queue",IF(E50="Recommended action","Research Queue / Outputs","Needs Review"))))))</f>
        <v/>
      </c>
    </row>
    <row r="51" spans="1:23">
      <c r="A51" s="27" t="str">
        <f>IF(G51="","","IN-"&amp;TEXT(B51,"yyyymmdd")&amp;"-"&amp;TEXT(ROW()-10,"000"))</f>
        <v/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7"/>
      <c r="W51" s="4" t="str">
        <f>IF(E51="","",IF(E51="Client-provided fact","Evidence Library",IF(E51="ETR Interpretation","Signal Builder",IF(E51="Hypothesis","KPI Bridge",IF(E51="Open question","Research Queue",IF(E51="Recommended action","Research Queue / Outputs","Needs Review"))))))</f>
        <v/>
      </c>
    </row>
    <row r="52" spans="1:23">
      <c r="A52" s="27" t="str">
        <f>IF(G52="","","IN-"&amp;TEXT(B52,"yyyymmdd")&amp;"-"&amp;TEXT(ROW()-10,"000"))</f>
        <v/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7"/>
      <c r="W52" s="4" t="str">
        <f>IF(E52="","",IF(E52="Client-provided fact","Evidence Library",IF(E52="ETR Interpretation","Signal Builder",IF(E52="Hypothesis","KPI Bridge",IF(E52="Open question","Research Queue",IF(E52="Recommended action","Research Queue / Outputs","Needs Review"))))))</f>
        <v/>
      </c>
    </row>
    <row r="53" spans="1:23">
      <c r="A53" s="27" t="str">
        <f>IF(G53="","","IN-"&amp;TEXT(B53,"yyyymmdd")&amp;"-"&amp;TEXT(ROW()-10,"000"))</f>
        <v/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7"/>
      <c r="W53" s="4" t="str">
        <f>IF(E53="","",IF(E53="Client-provided fact","Evidence Library",IF(E53="ETR Interpretation","Signal Builder",IF(E53="Hypothesis","KPI Bridge",IF(E53="Open question","Research Queue",IF(E53="Recommended action","Research Queue / Outputs","Needs Review"))))))</f>
        <v/>
      </c>
    </row>
    <row r="54" spans="1:23">
      <c r="A54" s="27" t="str">
        <f>IF(G54="","","IN-"&amp;TEXT(B54,"yyyymmdd")&amp;"-"&amp;TEXT(ROW()-10,"000"))</f>
        <v/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7"/>
      <c r="W54" s="4" t="str">
        <f>IF(E54="","",IF(E54="Client-provided fact","Evidence Library",IF(E54="ETR Interpretation","Signal Builder",IF(E54="Hypothesis","KPI Bridge",IF(E54="Open question","Research Queue",IF(E54="Recommended action","Research Queue / Outputs","Needs Review"))))))</f>
        <v/>
      </c>
    </row>
    <row r="55" spans="1:23">
      <c r="A55" s="27" t="str">
        <f>IF(G55="","","IN-"&amp;TEXT(B55,"yyyymmdd")&amp;"-"&amp;TEXT(ROW()-10,"000"))</f>
        <v/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7"/>
      <c r="W55" s="4" t="str">
        <f>IF(E55="","",IF(E55="Client-provided fact","Evidence Library",IF(E55="ETR Interpretation","Signal Builder",IF(E55="Hypothesis","KPI Bridge",IF(E55="Open question","Research Queue",IF(E55="Recommended action","Research Queue / Outputs","Needs Review"))))))</f>
        <v/>
      </c>
    </row>
    <row r="56" spans="1:23">
      <c r="A56" s="27" t="str">
        <f>IF(G56="","","IN-"&amp;TEXT(B56,"yyyymmdd")&amp;"-"&amp;TEXT(ROW()-10,"000"))</f>
        <v/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7"/>
      <c r="W56" s="4" t="str">
        <f>IF(E56="","",IF(E56="Client-provided fact","Evidence Library",IF(E56="ETR Interpretation","Signal Builder",IF(E56="Hypothesis","KPI Bridge",IF(E56="Open question","Research Queue",IF(E56="Recommended action","Research Queue / Outputs","Needs Review"))))))</f>
        <v/>
      </c>
    </row>
    <row r="57" spans="1:23">
      <c r="A57" s="27" t="str">
        <f>IF(G57="","","IN-"&amp;TEXT(B57,"yyyymmdd")&amp;"-"&amp;TEXT(ROW()-10,"000"))</f>
        <v/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7"/>
      <c r="W57" s="4" t="str">
        <f>IF(E57="","",IF(E57="Client-provided fact","Evidence Library",IF(E57="ETR Interpretation","Signal Builder",IF(E57="Hypothesis","KPI Bridge",IF(E57="Open question","Research Queue",IF(E57="Recommended action","Research Queue / Outputs","Needs Review"))))))</f>
        <v/>
      </c>
    </row>
    <row r="58" spans="1:23">
      <c r="A58" s="27" t="str">
        <f>IF(G58="","","IN-"&amp;TEXT(B58,"yyyymmdd")&amp;"-"&amp;TEXT(ROW()-10,"000"))</f>
        <v/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7"/>
      <c r="W58" s="4" t="str">
        <f>IF(E58="","",IF(E58="Client-provided fact","Evidence Library",IF(E58="ETR Interpretation","Signal Builder",IF(E58="Hypothesis","KPI Bridge",IF(E58="Open question","Research Queue",IF(E58="Recommended action","Research Queue / Outputs","Needs Review"))))))</f>
        <v/>
      </c>
    </row>
    <row r="59" spans="1:23">
      <c r="A59" s="27" t="str">
        <f>IF(G59="","","IN-"&amp;TEXT(B59,"yyyymmdd")&amp;"-"&amp;TEXT(ROW()-10,"000"))</f>
        <v/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7"/>
      <c r="W59" s="4" t="str">
        <f>IF(E59="","",IF(E59="Client-provided fact","Evidence Library",IF(E59="ETR Interpretation","Signal Builder",IF(E59="Hypothesis","KPI Bridge",IF(E59="Open question","Research Queue",IF(E59="Recommended action","Research Queue / Outputs","Needs Review"))))))</f>
        <v/>
      </c>
    </row>
    <row r="60" spans="1:23">
      <c r="A60" s="27" t="str">
        <f>IF(G60="","","IN-"&amp;TEXT(B60,"yyyymmdd")&amp;"-"&amp;TEXT(ROW()-10,"000"))</f>
        <v/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7"/>
      <c r="W60" s="4" t="str">
        <f>IF(E60="","",IF(E60="Client-provided fact","Evidence Library",IF(E60="ETR Interpretation","Signal Builder",IF(E60="Hypothesis","KPI Bridge",IF(E60="Open question","Research Queue",IF(E60="Recommended action","Research Queue / Outputs","Needs Review"))))))</f>
        <v/>
      </c>
    </row>
    <row r="61" spans="1:23">
      <c r="A61" s="27" t="str">
        <f>IF(G61="","","IN-"&amp;TEXT(B61,"yyyymmdd")&amp;"-"&amp;TEXT(ROW()-10,"000"))</f>
        <v/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7"/>
      <c r="W61" s="4" t="str">
        <f>IF(E61="","",IF(E61="Client-provided fact","Evidence Library",IF(E61="ETR Interpretation","Signal Builder",IF(E61="Hypothesis","KPI Bridge",IF(E61="Open question","Research Queue",IF(E61="Recommended action","Research Queue / Outputs","Needs Review"))))))</f>
        <v/>
      </c>
    </row>
    <row r="62" spans="1:23">
      <c r="A62" s="27" t="str">
        <f>IF(G62="","","IN-"&amp;TEXT(B62,"yyyymmdd")&amp;"-"&amp;TEXT(ROW()-10,"000"))</f>
        <v/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7"/>
      <c r="W62" s="4" t="str">
        <f>IF(E62="","",IF(E62="Client-provided fact","Evidence Library",IF(E62="ETR Interpretation","Signal Builder",IF(E62="Hypothesis","KPI Bridge",IF(E62="Open question","Research Queue",IF(E62="Recommended action","Research Queue / Outputs","Needs Review"))))))</f>
        <v/>
      </c>
    </row>
    <row r="63" spans="1:23">
      <c r="A63" s="27" t="str">
        <f>IF(G63="","","IN-"&amp;TEXT(B63,"yyyymmdd")&amp;"-"&amp;TEXT(ROW()-10,"000"))</f>
        <v/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7"/>
      <c r="W63" s="4" t="str">
        <f>IF(E63="","",IF(E63="Client-provided fact","Evidence Library",IF(E63="ETR Interpretation","Signal Builder",IF(E63="Hypothesis","KPI Bridge",IF(E63="Open question","Research Queue",IF(E63="Recommended action","Research Queue / Outputs","Needs Review"))))))</f>
        <v/>
      </c>
    </row>
    <row r="64" spans="1:23">
      <c r="A64" s="27" t="str">
        <f>IF(G64="","","IN-"&amp;TEXT(B64,"yyyymmdd")&amp;"-"&amp;TEXT(ROW()-10,"000"))</f>
        <v/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7"/>
      <c r="W64" s="4" t="str">
        <f>IF(E64="","",IF(E64="Client-provided fact","Evidence Library",IF(E64="ETR Interpretation","Signal Builder",IF(E64="Hypothesis","KPI Bridge",IF(E64="Open question","Research Queue",IF(E64="Recommended action","Research Queue / Outputs","Needs Review"))))))</f>
        <v/>
      </c>
    </row>
    <row r="65" spans="1:23">
      <c r="A65" s="27" t="str">
        <f>IF(G65="","","IN-"&amp;TEXT(B65,"yyyymmdd")&amp;"-"&amp;TEXT(ROW()-10,"000"))</f>
        <v/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7"/>
      <c r="W65" s="4" t="str">
        <f>IF(E65="","",IF(E65="Client-provided fact","Evidence Library",IF(E65="ETR Interpretation","Signal Builder",IF(E65="Hypothesis","KPI Bridge",IF(E65="Open question","Research Queue",IF(E65="Recommended action","Research Queue / Outputs","Needs Review"))))))</f>
        <v/>
      </c>
    </row>
    <row r="66" spans="1:23">
      <c r="A66" s="27" t="str">
        <f>IF(G66="","","IN-"&amp;TEXT(B66,"yyyymmdd")&amp;"-"&amp;TEXT(ROW()-10,"000"))</f>
        <v/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7"/>
      <c r="W66" s="4" t="str">
        <f>IF(E66="","",IF(E66="Client-provided fact","Evidence Library",IF(E66="ETR Interpretation","Signal Builder",IF(E66="Hypothesis","KPI Bridge",IF(E66="Open question","Research Queue",IF(E66="Recommended action","Research Queue / Outputs","Needs Review"))))))</f>
        <v/>
      </c>
    </row>
    <row r="67" spans="1:23">
      <c r="A67" s="27" t="str">
        <f>IF(G67="","","IN-"&amp;TEXT(B67,"yyyymmdd")&amp;"-"&amp;TEXT(ROW()-10,"000"))</f>
        <v/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7"/>
      <c r="W67" s="4" t="str">
        <f>IF(E67="","",IF(E67="Client-provided fact","Evidence Library",IF(E67="ETR Interpretation","Signal Builder",IF(E67="Hypothesis","KPI Bridge",IF(E67="Open question","Research Queue",IF(E67="Recommended action","Research Queue / Outputs","Needs Review"))))))</f>
        <v/>
      </c>
    </row>
    <row r="68" spans="1:23">
      <c r="A68" s="27" t="str">
        <f>IF(G68="","","IN-"&amp;TEXT(B68,"yyyymmdd")&amp;"-"&amp;TEXT(ROW()-10,"000"))</f>
        <v/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7"/>
      <c r="W68" s="4" t="str">
        <f>IF(E68="","",IF(E68="Client-provided fact","Evidence Library",IF(E68="ETR Interpretation","Signal Builder",IF(E68="Hypothesis","KPI Bridge",IF(E68="Open question","Research Queue",IF(E68="Recommended action","Research Queue / Outputs","Needs Review"))))))</f>
        <v/>
      </c>
    </row>
    <row r="69" spans="1:23">
      <c r="A69" s="27" t="str">
        <f>IF(G69="","","IN-"&amp;TEXT(B69,"yyyymmdd")&amp;"-"&amp;TEXT(ROW()-10,"000"))</f>
        <v/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7"/>
      <c r="W69" s="4" t="str">
        <f>IF(E69="","",IF(E69="Client-provided fact","Evidence Library",IF(E69="ETR Interpretation","Signal Builder",IF(E69="Hypothesis","KPI Bridge",IF(E69="Open question","Research Queue",IF(E69="Recommended action","Research Queue / Outputs","Needs Review"))))))</f>
        <v/>
      </c>
    </row>
    <row r="70" spans="1:23">
      <c r="A70" s="27" t="str">
        <f>IF(G70="","","IN-"&amp;TEXT(B70,"yyyymmdd")&amp;"-"&amp;TEXT(ROW()-10,"000"))</f>
        <v/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7"/>
      <c r="W70" s="4" t="str">
        <f>IF(E70="","",IF(E70="Client-provided fact","Evidence Library",IF(E70="ETR Interpretation","Signal Builder",IF(E70="Hypothesis","KPI Bridge",IF(E70="Open question","Research Queue",IF(E70="Recommended action","Research Queue / Outputs","Needs Review"))))))</f>
        <v/>
      </c>
    </row>
    <row r="71" spans="1:23">
      <c r="A71" s="27" t="str">
        <f>IF(G71="","","IN-"&amp;TEXT(B71,"yyyymmdd")&amp;"-"&amp;TEXT(ROW()-10,"000"))</f>
        <v/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7"/>
      <c r="W71" s="4" t="str">
        <f>IF(E71="","",IF(E71="Client-provided fact","Evidence Library",IF(E71="ETR Interpretation","Signal Builder",IF(E71="Hypothesis","KPI Bridge",IF(E71="Open question","Research Queue",IF(E71="Recommended action","Research Queue / Outputs","Needs Review"))))))</f>
        <v/>
      </c>
    </row>
    <row r="72" spans="1:23">
      <c r="A72" s="27" t="str">
        <f>IF(G72="","","IN-"&amp;TEXT(B72,"yyyymmdd")&amp;"-"&amp;TEXT(ROW()-10,"000"))</f>
        <v/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7"/>
      <c r="W72" s="4" t="str">
        <f>IF(E72="","",IF(E72="Client-provided fact","Evidence Library",IF(E72="ETR Interpretation","Signal Builder",IF(E72="Hypothesis","KPI Bridge",IF(E72="Open question","Research Queue",IF(E72="Recommended action","Research Queue / Outputs","Needs Review"))))))</f>
        <v/>
      </c>
    </row>
    <row r="73" spans="1:23">
      <c r="A73" s="27" t="str">
        <f>IF(G73="","","IN-"&amp;TEXT(B73,"yyyymmdd")&amp;"-"&amp;TEXT(ROW()-10,"000"))</f>
        <v/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7"/>
      <c r="W73" s="4" t="str">
        <f>IF(E73="","",IF(E73="Client-provided fact","Evidence Library",IF(E73="ETR Interpretation","Signal Builder",IF(E73="Hypothesis","KPI Bridge",IF(E73="Open question","Research Queue",IF(E73="Recommended action","Research Queue / Outputs","Needs Review"))))))</f>
        <v/>
      </c>
    </row>
    <row r="74" spans="1:23">
      <c r="A74" s="27" t="str">
        <f>IF(G74="","","IN-"&amp;TEXT(B74,"yyyymmdd")&amp;"-"&amp;TEXT(ROW()-10,"000"))</f>
        <v/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7"/>
      <c r="W74" s="4" t="str">
        <f>IF(E74="","",IF(E74="Client-provided fact","Evidence Library",IF(E74="ETR Interpretation","Signal Builder",IF(E74="Hypothesis","KPI Bridge",IF(E74="Open question","Research Queue",IF(E74="Recommended action","Research Queue / Outputs","Needs Review"))))))</f>
        <v/>
      </c>
    </row>
    <row r="75" spans="1:23">
      <c r="A75" s="27" t="str">
        <f>IF(G75="","","IN-"&amp;TEXT(B75,"yyyymmdd")&amp;"-"&amp;TEXT(ROW()-10,"000"))</f>
        <v/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7"/>
      <c r="W75" s="4" t="str">
        <f>IF(E75="","",IF(E75="Client-provided fact","Evidence Library",IF(E75="ETR Interpretation","Signal Builder",IF(E75="Hypothesis","KPI Bridge",IF(E75="Open question","Research Queue",IF(E75="Recommended action","Research Queue / Outputs","Needs Review"))))))</f>
        <v/>
      </c>
    </row>
    <row r="76" spans="1:23">
      <c r="A76" s="27" t="str">
        <f>IF(G76="","","IN-"&amp;TEXT(B76,"yyyymmdd")&amp;"-"&amp;TEXT(ROW()-10,"000"))</f>
        <v/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7"/>
      <c r="W76" s="4" t="str">
        <f>IF(E76="","",IF(E76="Client-provided fact","Evidence Library",IF(E76="ETR Interpretation","Signal Builder",IF(E76="Hypothesis","KPI Bridge",IF(E76="Open question","Research Queue",IF(E76="Recommended action","Research Queue / Outputs","Needs Review"))))))</f>
        <v/>
      </c>
    </row>
    <row r="77" spans="1:23">
      <c r="A77" s="27" t="str">
        <f>IF(G77="","","IN-"&amp;TEXT(B77,"yyyymmdd")&amp;"-"&amp;TEXT(ROW()-10,"000"))</f>
        <v/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7"/>
      <c r="W77" s="4" t="str">
        <f>IF(E77="","",IF(E77="Client-provided fact","Evidence Library",IF(E77="ETR Interpretation","Signal Builder",IF(E77="Hypothesis","KPI Bridge",IF(E77="Open question","Research Queue",IF(E77="Recommended action","Research Queue / Outputs","Needs Review"))))))</f>
        <v/>
      </c>
    </row>
    <row r="78" spans="1:23">
      <c r="A78" s="27" t="str">
        <f>IF(G78="","","IN-"&amp;TEXT(B78,"yyyymmdd")&amp;"-"&amp;TEXT(ROW()-10,"000"))</f>
        <v/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7"/>
      <c r="W78" s="4" t="str">
        <f>IF(E78="","",IF(E78="Client-provided fact","Evidence Library",IF(E78="ETR Interpretation","Signal Builder",IF(E78="Hypothesis","KPI Bridge",IF(E78="Open question","Research Queue",IF(E78="Recommended action","Research Queue / Outputs","Needs Review"))))))</f>
        <v/>
      </c>
    </row>
    <row r="79" spans="1:23">
      <c r="A79" s="27" t="str">
        <f>IF(G79="","","IN-"&amp;TEXT(B79,"yyyymmdd")&amp;"-"&amp;TEXT(ROW()-10,"000"))</f>
        <v/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7"/>
      <c r="W79" s="4" t="str">
        <f>IF(E79="","",IF(E79="Client-provided fact","Evidence Library",IF(E79="ETR Interpretation","Signal Builder",IF(E79="Hypothesis","KPI Bridge",IF(E79="Open question","Research Queue",IF(E79="Recommended action","Research Queue / Outputs","Needs Review"))))))</f>
        <v/>
      </c>
    </row>
    <row r="80" spans="1:23">
      <c r="A80" s="27" t="str">
        <f>IF(G80="","","IN-"&amp;TEXT(B80,"yyyymmdd")&amp;"-"&amp;TEXT(ROW()-10,"000"))</f>
        <v/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7"/>
      <c r="W80" s="4" t="str">
        <f>IF(E80="","",IF(E80="Client-provided fact","Evidence Library",IF(E80="ETR Interpretation","Signal Builder",IF(E80="Hypothesis","KPI Bridge",IF(E80="Open question","Research Queue",IF(E80="Recommended action","Research Queue / Outputs","Needs Review"))))))</f>
        <v/>
      </c>
    </row>
    <row r="81" spans="1:23">
      <c r="A81" s="27" t="str">
        <f>IF(G81="","","IN-"&amp;TEXT(B81,"yyyymmdd")&amp;"-"&amp;TEXT(ROW()-10,"000"))</f>
        <v/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7"/>
      <c r="W81" s="4" t="str">
        <f>IF(E81="","",IF(E81="Client-provided fact","Evidence Library",IF(E81="ETR Interpretation","Signal Builder",IF(E81="Hypothesis","KPI Bridge",IF(E81="Open question","Research Queue",IF(E81="Recommended action","Research Queue / Outputs","Needs Review"))))))</f>
        <v/>
      </c>
    </row>
    <row r="82" spans="1:23">
      <c r="A82" s="27" t="str">
        <f>IF(G82="","","IN-"&amp;TEXT(B82,"yyyymmdd")&amp;"-"&amp;TEXT(ROW()-10,"000"))</f>
        <v/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7"/>
      <c r="W82" s="4" t="str">
        <f>IF(E82="","",IF(E82="Client-provided fact","Evidence Library",IF(E82="ETR Interpretation","Signal Builder",IF(E82="Hypothesis","KPI Bridge",IF(E82="Open question","Research Queue",IF(E82="Recommended action","Research Queue / Outputs","Needs Review"))))))</f>
        <v/>
      </c>
    </row>
    <row r="83" spans="1:23">
      <c r="A83" s="27" t="str">
        <f>IF(G83="","","IN-"&amp;TEXT(B83,"yyyymmdd")&amp;"-"&amp;TEXT(ROW()-10,"000"))</f>
        <v/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7"/>
      <c r="W83" s="4" t="str">
        <f>IF(E83="","",IF(E83="Client-provided fact","Evidence Library",IF(E83="ETR Interpretation","Signal Builder",IF(E83="Hypothesis","KPI Bridge",IF(E83="Open question","Research Queue",IF(E83="Recommended action","Research Queue / Outputs","Needs Review"))))))</f>
        <v/>
      </c>
    </row>
    <row r="84" spans="1:23">
      <c r="A84" s="27" t="str">
        <f>IF(G84="","","IN-"&amp;TEXT(B84,"yyyymmdd")&amp;"-"&amp;TEXT(ROW()-10,"000"))</f>
        <v/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7"/>
      <c r="W84" s="4" t="str">
        <f>IF(E84="","",IF(E84="Client-provided fact","Evidence Library",IF(E84="ETR Interpretation","Signal Builder",IF(E84="Hypothesis","KPI Bridge",IF(E84="Open question","Research Queue",IF(E84="Recommended action","Research Queue / Outputs","Needs Review"))))))</f>
        <v/>
      </c>
    </row>
    <row r="85" spans="1:23">
      <c r="A85" s="27" t="str">
        <f>IF(G85="","","IN-"&amp;TEXT(B85,"yyyymmdd")&amp;"-"&amp;TEXT(ROW()-10,"000"))</f>
        <v/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7"/>
      <c r="W85" s="4" t="str">
        <f>IF(E85="","",IF(E85="Client-provided fact","Evidence Library",IF(E85="ETR Interpretation","Signal Builder",IF(E85="Hypothesis","KPI Bridge",IF(E85="Open question","Research Queue",IF(E85="Recommended action","Research Queue / Outputs","Needs Review"))))))</f>
        <v/>
      </c>
    </row>
    <row r="86" spans="1:23">
      <c r="A86" s="27" t="str">
        <f>IF(G86="","","IN-"&amp;TEXT(B86,"yyyymmdd")&amp;"-"&amp;TEXT(ROW()-10,"000"))</f>
        <v/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7"/>
      <c r="W86" s="4" t="str">
        <f>IF(E86="","",IF(E86="Client-provided fact","Evidence Library",IF(E86="ETR Interpretation","Signal Builder",IF(E86="Hypothesis","KPI Bridge",IF(E86="Open question","Research Queue",IF(E86="Recommended action","Research Queue / Outputs","Needs Review"))))))</f>
        <v/>
      </c>
    </row>
    <row r="87" spans="1:23">
      <c r="A87" s="27" t="str">
        <f>IF(G87="","","IN-"&amp;TEXT(B87,"yyyymmdd")&amp;"-"&amp;TEXT(ROW()-10,"000"))</f>
        <v/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7"/>
      <c r="W87" s="4" t="str">
        <f>IF(E87="","",IF(E87="Client-provided fact","Evidence Library",IF(E87="ETR Interpretation","Signal Builder",IF(E87="Hypothesis","KPI Bridge",IF(E87="Open question","Research Queue",IF(E87="Recommended action","Research Queue / Outputs","Needs Review"))))))</f>
        <v/>
      </c>
    </row>
    <row r="88" spans="1:23">
      <c r="A88" s="27" t="str">
        <f>IF(G88="","","IN-"&amp;TEXT(B88,"yyyymmdd")&amp;"-"&amp;TEXT(ROW()-10,"000"))</f>
        <v/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7"/>
      <c r="W88" s="4" t="str">
        <f>IF(E88="","",IF(E88="Client-provided fact","Evidence Library",IF(E88="ETR Interpretation","Signal Builder",IF(E88="Hypothesis","KPI Bridge",IF(E88="Open question","Research Queue",IF(E88="Recommended action","Research Queue / Outputs","Needs Review"))))))</f>
        <v/>
      </c>
    </row>
    <row r="89" spans="1:23">
      <c r="A89" s="27" t="str">
        <f>IF(G89="","","IN-"&amp;TEXT(B89,"yyyymmdd")&amp;"-"&amp;TEXT(ROW()-10,"000"))</f>
        <v/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7"/>
      <c r="W89" s="4" t="str">
        <f>IF(E89="","",IF(E89="Client-provided fact","Evidence Library",IF(E89="ETR Interpretation","Signal Builder",IF(E89="Hypothesis","KPI Bridge",IF(E89="Open question","Research Queue",IF(E89="Recommended action","Research Queue / Outputs","Needs Review"))))))</f>
        <v/>
      </c>
    </row>
    <row r="90" spans="1:23">
      <c r="A90" s="27" t="str">
        <f>IF(G90="","","IN-"&amp;TEXT(B90,"yyyymmdd")&amp;"-"&amp;TEXT(ROW()-10,"000"))</f>
        <v/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7"/>
      <c r="W90" s="4" t="str">
        <f>IF(E90="","",IF(E90="Client-provided fact","Evidence Library",IF(E90="ETR Interpretation","Signal Builder",IF(E90="Hypothesis","KPI Bridge",IF(E90="Open question","Research Queue",IF(E90="Recommended action","Research Queue / Outputs","Needs Review"))))))</f>
        <v/>
      </c>
    </row>
    <row r="91" spans="1:23">
      <c r="A91" s="27" t="str">
        <f>IF(G91="","","IN-"&amp;TEXT(B91,"yyyymmdd")&amp;"-"&amp;TEXT(ROW()-10,"000"))</f>
        <v/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7"/>
      <c r="W91" s="4" t="str">
        <f>IF(E91="","",IF(E91="Client-provided fact","Evidence Library",IF(E91="ETR Interpretation","Signal Builder",IF(E91="Hypothesis","KPI Bridge",IF(E91="Open question","Research Queue",IF(E91="Recommended action","Research Queue / Outputs","Needs Review"))))))</f>
        <v/>
      </c>
    </row>
    <row r="92" spans="1:23">
      <c r="A92" s="27" t="str">
        <f>IF(G92="","","IN-"&amp;TEXT(B92,"yyyymmdd")&amp;"-"&amp;TEXT(ROW()-10,"000"))</f>
        <v/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7"/>
      <c r="W92" s="4" t="str">
        <f>IF(E92="","",IF(E92="Client-provided fact","Evidence Library",IF(E92="ETR Interpretation","Signal Builder",IF(E92="Hypothesis","KPI Bridge",IF(E92="Open question","Research Queue",IF(E92="Recommended action","Research Queue / Outputs","Needs Review"))))))</f>
        <v/>
      </c>
    </row>
    <row r="93" spans="1:23">
      <c r="A93" s="27" t="str">
        <f>IF(G93="","","IN-"&amp;TEXT(B93,"yyyymmdd")&amp;"-"&amp;TEXT(ROW()-10,"000"))</f>
        <v/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7"/>
      <c r="W93" s="4" t="str">
        <f>IF(E93="","",IF(E93="Client-provided fact","Evidence Library",IF(E93="ETR Interpretation","Signal Builder",IF(E93="Hypothesis","KPI Bridge",IF(E93="Open question","Research Queue",IF(E93="Recommended action","Research Queue / Outputs","Needs Review"))))))</f>
        <v/>
      </c>
    </row>
    <row r="94" spans="1:23">
      <c r="A94" s="27" t="str">
        <f>IF(G94="","","IN-"&amp;TEXT(B94,"yyyymmdd")&amp;"-"&amp;TEXT(ROW()-10,"000"))</f>
        <v/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7"/>
      <c r="W94" s="4" t="str">
        <f>IF(E94="","",IF(E94="Client-provided fact","Evidence Library",IF(E94="ETR Interpretation","Signal Builder",IF(E94="Hypothesis","KPI Bridge",IF(E94="Open question","Research Queue",IF(E94="Recommended action","Research Queue / Outputs","Needs Review"))))))</f>
        <v/>
      </c>
    </row>
    <row r="95" spans="1:23">
      <c r="A95" s="27" t="str">
        <f>IF(G95="","","IN-"&amp;TEXT(B95,"yyyymmdd")&amp;"-"&amp;TEXT(ROW()-10,"000"))</f>
        <v/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7"/>
      <c r="W95" s="4" t="str">
        <f>IF(E95="","",IF(E95="Client-provided fact","Evidence Library",IF(E95="ETR Interpretation","Signal Builder",IF(E95="Hypothesis","KPI Bridge",IF(E95="Open question","Research Queue",IF(E95="Recommended action","Research Queue / Outputs","Needs Review"))))))</f>
        <v/>
      </c>
    </row>
    <row r="96" spans="1:23">
      <c r="A96" s="27" t="str">
        <f>IF(G96="","","IN-"&amp;TEXT(B96,"yyyymmdd")&amp;"-"&amp;TEXT(ROW()-10,"000"))</f>
        <v/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7"/>
      <c r="W96" s="4" t="str">
        <f>IF(E96="","",IF(E96="Client-provided fact","Evidence Library",IF(E96="ETR Interpretation","Signal Builder",IF(E96="Hypothesis","KPI Bridge",IF(E96="Open question","Research Queue",IF(E96="Recommended action","Research Queue / Outputs","Needs Review"))))))</f>
        <v/>
      </c>
    </row>
    <row r="97" spans="1:23">
      <c r="A97" s="27" t="str">
        <f>IF(G97="","","IN-"&amp;TEXT(B97,"yyyymmdd")&amp;"-"&amp;TEXT(ROW()-10,"000"))</f>
        <v/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7"/>
      <c r="W97" s="4" t="str">
        <f>IF(E97="","",IF(E97="Client-provided fact","Evidence Library",IF(E97="ETR Interpretation","Signal Builder",IF(E97="Hypothesis","KPI Bridge",IF(E97="Open question","Research Queue",IF(E97="Recommended action","Research Queue / Outputs","Needs Review"))))))</f>
        <v/>
      </c>
    </row>
    <row r="98" spans="1:23">
      <c r="A98" s="27" t="str">
        <f>IF(G98="","","IN-"&amp;TEXT(B98,"yyyymmdd")&amp;"-"&amp;TEXT(ROW()-10,"000"))</f>
        <v/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7"/>
      <c r="W98" s="4" t="str">
        <f>IF(E98="","",IF(E98="Client-provided fact","Evidence Library",IF(E98="ETR Interpretation","Signal Builder",IF(E98="Hypothesis","KPI Bridge",IF(E98="Open question","Research Queue",IF(E98="Recommended action","Research Queue / Outputs","Needs Review"))))))</f>
        <v/>
      </c>
    </row>
    <row r="99" spans="1:23">
      <c r="A99" s="27" t="str">
        <f>IF(G99="","","IN-"&amp;TEXT(B99,"yyyymmdd")&amp;"-"&amp;TEXT(ROW()-10,"000"))</f>
        <v/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7"/>
      <c r="W99" s="4" t="str">
        <f>IF(E99="","",IF(E99="Client-provided fact","Evidence Library",IF(E99="ETR Interpretation","Signal Builder",IF(E99="Hypothesis","KPI Bridge",IF(E99="Open question","Research Queue",IF(E99="Recommended action","Research Queue / Outputs","Needs Review"))))))</f>
        <v/>
      </c>
    </row>
    <row r="100" spans="1:23">
      <c r="A100" s="27" t="str">
        <f>IF(G100="","","IN-"&amp;TEXT(B100,"yyyymmdd")&amp;"-"&amp;TEXT(ROW()-10,"000"))</f>
        <v/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7"/>
      <c r="W100" s="4" t="str">
        <f>IF(E100="","",IF(E100="Client-provided fact","Evidence Library",IF(E100="ETR Interpretation","Signal Builder",IF(E100="Hypothesis","KPI Bridge",IF(E100="Open question","Research Queue",IF(E100="Recommended action","Research Queue / Outputs","Needs Review"))))))</f>
        <v/>
      </c>
    </row>
    <row r="101" spans="1:23">
      <c r="A101" s="27" t="str">
        <f>IF(G101="","","IN-"&amp;TEXT(B101,"yyyymmdd")&amp;"-"&amp;TEXT(ROW()-10,"000"))</f>
        <v/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7"/>
      <c r="W101" s="4" t="str">
        <f>IF(E101="","",IF(E101="Client-provided fact","Evidence Library",IF(E101="ETR Interpretation","Signal Builder",IF(E101="Hypothesis","KPI Bridge",IF(E101="Open question","Research Queue",IF(E101="Recommended action","Research Queue / Outputs","Needs Review"))))))</f>
        <v/>
      </c>
    </row>
    <row r="102" spans="1:23">
      <c r="A102" s="27" t="str">
        <f>IF(G102="","","IN-"&amp;TEXT(B102,"yyyymmdd")&amp;"-"&amp;TEXT(ROW()-10,"000"))</f>
        <v/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7"/>
      <c r="W102" s="4" t="str">
        <f>IF(E102="","",IF(E102="Client-provided fact","Evidence Library",IF(E102="ETR Interpretation","Signal Builder",IF(E102="Hypothesis","KPI Bridge",IF(E102="Open question","Research Queue",IF(E102="Recommended action","Research Queue / Outputs","Needs Review"))))))</f>
        <v/>
      </c>
    </row>
    <row r="103" spans="1:23">
      <c r="A103" s="27" t="str">
        <f>IF(G103="","","IN-"&amp;TEXT(B103,"yyyymmdd")&amp;"-"&amp;TEXT(ROW()-10,"000"))</f>
        <v/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7"/>
      <c r="W103" s="4" t="str">
        <f>IF(E103="","",IF(E103="Client-provided fact","Evidence Library",IF(E103="ETR Interpretation","Signal Builder",IF(E103="Hypothesis","KPI Bridge",IF(E103="Open question","Research Queue",IF(E103="Recommended action","Research Queue / Outputs","Needs Review"))))))</f>
        <v/>
      </c>
    </row>
    <row r="104" spans="1:23">
      <c r="A104" s="27" t="str">
        <f>IF(G104="","","IN-"&amp;TEXT(B104,"yyyymmdd")&amp;"-"&amp;TEXT(ROW()-10,"000"))</f>
        <v/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7"/>
      <c r="W104" s="4" t="str">
        <f>IF(E104="","",IF(E104="Client-provided fact","Evidence Library",IF(E104="ETR Interpretation","Signal Builder",IF(E104="Hypothesis","KPI Bridge",IF(E104="Open question","Research Queue",IF(E104="Recommended action","Research Queue / Outputs","Needs Review"))))))</f>
        <v/>
      </c>
    </row>
    <row r="105" spans="1:23">
      <c r="A105" s="27" t="str">
        <f>IF(G105="","","IN-"&amp;TEXT(B105,"yyyymmdd")&amp;"-"&amp;TEXT(ROW()-10,"000"))</f>
        <v/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7"/>
      <c r="W105" s="4" t="str">
        <f>IF(E105="","",IF(E105="Client-provided fact","Evidence Library",IF(E105="ETR Interpretation","Signal Builder",IF(E105="Hypothesis","KPI Bridge",IF(E105="Open question","Research Queue",IF(E105="Recommended action","Research Queue / Outputs","Needs Review"))))))</f>
        <v/>
      </c>
    </row>
    <row r="106" spans="1:23">
      <c r="A106" s="27" t="str">
        <f>IF(G106="","","IN-"&amp;TEXT(B106,"yyyymmdd")&amp;"-"&amp;TEXT(ROW()-10,"000"))</f>
        <v/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7"/>
      <c r="W106" s="4" t="str">
        <f>IF(E106="","",IF(E106="Client-provided fact","Evidence Library",IF(E106="ETR Interpretation","Signal Builder",IF(E106="Hypothesis","KPI Bridge",IF(E106="Open question","Research Queue",IF(E106="Recommended action","Research Queue / Outputs","Needs Review"))))))</f>
        <v/>
      </c>
    </row>
    <row r="107" spans="1:23">
      <c r="A107" s="27" t="str">
        <f>IF(G107="","","IN-"&amp;TEXT(B107,"yyyymmdd")&amp;"-"&amp;TEXT(ROW()-10,"000"))</f>
        <v/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7"/>
      <c r="W107" s="4" t="str">
        <f>IF(E107="","",IF(E107="Client-provided fact","Evidence Library",IF(E107="ETR Interpretation","Signal Builder",IF(E107="Hypothesis","KPI Bridge",IF(E107="Open question","Research Queue",IF(E107="Recommended action","Research Queue / Outputs","Needs Review"))))))</f>
        <v/>
      </c>
    </row>
    <row r="108" spans="1:23">
      <c r="A108" s="27" t="str">
        <f>IF(G108="","","IN-"&amp;TEXT(B108,"yyyymmdd")&amp;"-"&amp;TEXT(ROW()-10,"000"))</f>
        <v/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7"/>
      <c r="W108" s="4" t="str">
        <f>IF(E108="","",IF(E108="Client-provided fact","Evidence Library",IF(E108="ETR Interpretation","Signal Builder",IF(E108="Hypothesis","KPI Bridge",IF(E108="Open question","Research Queue",IF(E108="Recommended action","Research Queue / Outputs","Needs Review"))))))</f>
        <v/>
      </c>
    </row>
    <row r="109" spans="1:23">
      <c r="A109" s="27" t="str">
        <f>IF(G109="","","IN-"&amp;TEXT(B109,"yyyymmdd")&amp;"-"&amp;TEXT(ROW()-10,"000"))</f>
        <v/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7"/>
      <c r="W109" s="4" t="str">
        <f>IF(E109="","",IF(E109="Client-provided fact","Evidence Library",IF(E109="ETR Interpretation","Signal Builder",IF(E109="Hypothesis","KPI Bridge",IF(E109="Open question","Research Queue",IF(E109="Recommended action","Research Queue / Outputs","Needs Review"))))))</f>
        <v/>
      </c>
    </row>
    <row r="110" spans="1:23">
      <c r="A110" s="27" t="str">
        <f>IF(G110="","","IN-"&amp;TEXT(B110,"yyyymmdd")&amp;"-"&amp;TEXT(ROW()-10,"000"))</f>
        <v/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7"/>
      <c r="W110" s="4" t="str">
        <f>IF(E110="","",IF(E110="Client-provided fact","Evidence Library",IF(E110="ETR Interpretation","Signal Builder",IF(E110="Hypothesis","KPI Bridge",IF(E110="Open question","Research Queue",IF(E110="Recommended action","Research Queue / Outputs","Needs Review"))))))</f>
        <v/>
      </c>
    </row>
  </sheetData>
  <mergeCells count="4">
    <mergeCell ref="A6:V8"/>
    <mergeCell ref="A5:V5"/>
    <mergeCell ref="A1:V2"/>
    <mergeCell ref="A3:V3"/>
  </mergeCells>
  <conditionalFormatting sqref="S11:S110">
    <cfRule type="expression" dxfId="1" priority="1">
      <formula>$S11="Approved"</formula>
    </cfRule>
    <cfRule type="expression" dxfId="0" priority="2">
      <formula>OR($S11="Needs Source",$S11="Needs Validation")</formula>
    </cfRule>
  </conditionalFormatting>
  <hyperlinks>
    <hyperlink ref="W5" location="'Evidence Intake Form'!A1" display="Open Intake Form" xr:uid="{00000000-0004-0000-0300-000000000000}"/>
  </hyperlink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  <pageSetUpPr fitToPage="1"/>
  </sheetPr>
  <dimension ref="A1:J69"/>
  <sheetViews>
    <sheetView showGridLines="0" workbookViewId="0">
      <pane ySplit="5" topLeftCell="A6" activePane="bottomLeft" state="frozen"/>
      <selection pane="bottomLeft" activeCell="E21" sqref="E21"/>
    </sheetView>
  </sheetViews>
  <sheetFormatPr defaultRowHeight="15"/>
  <cols>
    <col min="1" max="1" width="16" customWidth="1"/>
    <col min="2" max="2" width="42" customWidth="1"/>
    <col min="3" max="3" width="24" customWidth="1"/>
    <col min="4" max="4" width="22" customWidth="1"/>
    <col min="5" max="5" width="54" customWidth="1"/>
    <col min="6" max="6" width="24" customWidth="1"/>
    <col min="7" max="7" width="50" customWidth="1"/>
    <col min="8" max="8" width="28" customWidth="1"/>
    <col min="9" max="9" width="20" customWidth="1"/>
    <col min="10" max="10" width="45" customWidth="1"/>
  </cols>
  <sheetData>
    <row r="1" spans="1:10">
      <c r="A1" s="37" t="s">
        <v>217</v>
      </c>
      <c r="B1" s="69"/>
      <c r="C1" s="69"/>
      <c r="D1" s="69"/>
      <c r="E1" s="69"/>
      <c r="F1" s="69"/>
      <c r="G1" s="69"/>
      <c r="H1" s="69"/>
      <c r="I1" s="69"/>
      <c r="J1" s="69"/>
    </row>
    <row r="2" spans="1:10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0" ht="33.950000000000003" customHeight="1">
      <c r="A3" s="47" t="s">
        <v>218</v>
      </c>
      <c r="B3" s="69"/>
      <c r="C3" s="69"/>
      <c r="D3" s="69"/>
      <c r="E3" s="69"/>
      <c r="F3" s="69"/>
      <c r="G3" s="69"/>
      <c r="H3" s="69"/>
      <c r="I3" s="69"/>
      <c r="J3" s="69"/>
    </row>
    <row r="5" spans="1:10">
      <c r="A5" s="28" t="s">
        <v>219</v>
      </c>
      <c r="B5" s="28" t="s">
        <v>176</v>
      </c>
      <c r="C5" s="28" t="s">
        <v>172</v>
      </c>
      <c r="D5" s="28" t="s">
        <v>220</v>
      </c>
      <c r="E5" s="28" t="s">
        <v>221</v>
      </c>
      <c r="F5" s="28" t="s">
        <v>222</v>
      </c>
      <c r="G5" s="28" t="s">
        <v>223</v>
      </c>
      <c r="H5" s="28" t="s">
        <v>224</v>
      </c>
      <c r="I5" s="28" t="s">
        <v>225</v>
      </c>
      <c r="J5" s="28" t="s">
        <v>226</v>
      </c>
    </row>
    <row r="6" spans="1:10" ht="30" customHeight="1">
      <c r="A6" s="9" t="s">
        <v>227</v>
      </c>
      <c r="B6" s="9" t="s">
        <v>228</v>
      </c>
      <c r="C6" s="9" t="s">
        <v>229</v>
      </c>
      <c r="D6" s="9" t="s">
        <v>230</v>
      </c>
      <c r="E6" s="9" t="s">
        <v>231</v>
      </c>
      <c r="F6" s="9" t="s">
        <v>232</v>
      </c>
      <c r="G6" s="9" t="s">
        <v>233</v>
      </c>
      <c r="H6" s="9" t="s">
        <v>234</v>
      </c>
      <c r="I6" s="9" t="s">
        <v>235</v>
      </c>
      <c r="J6" s="9"/>
    </row>
    <row r="7" spans="1:10">
      <c r="A7" s="9" t="s">
        <v>236</v>
      </c>
      <c r="B7" s="9" t="s">
        <v>237</v>
      </c>
      <c r="C7" s="9" t="s">
        <v>238</v>
      </c>
      <c r="D7" s="9" t="s">
        <v>239</v>
      </c>
      <c r="E7" s="9" t="s">
        <v>240</v>
      </c>
      <c r="F7" s="9" t="s">
        <v>241</v>
      </c>
      <c r="G7" s="9" t="s">
        <v>242</v>
      </c>
      <c r="H7" s="9" t="s">
        <v>243</v>
      </c>
      <c r="I7" s="9" t="s">
        <v>244</v>
      </c>
      <c r="J7" s="9"/>
    </row>
    <row r="8" spans="1:10" ht="30" customHeight="1">
      <c r="A8" s="9" t="s">
        <v>245</v>
      </c>
      <c r="B8" s="9" t="s">
        <v>246</v>
      </c>
      <c r="C8" s="9" t="s">
        <v>229</v>
      </c>
      <c r="D8" s="9" t="s">
        <v>247</v>
      </c>
      <c r="E8" s="9" t="s">
        <v>248</v>
      </c>
      <c r="F8" s="9" t="s">
        <v>249</v>
      </c>
      <c r="G8" s="9" t="s">
        <v>250</v>
      </c>
      <c r="H8" s="9" t="s">
        <v>234</v>
      </c>
      <c r="I8" s="9" t="s">
        <v>235</v>
      </c>
      <c r="J8" s="9"/>
    </row>
    <row r="9" spans="1:10" ht="30" customHeight="1">
      <c r="A9" s="9" t="s">
        <v>251</v>
      </c>
      <c r="B9" s="9" t="s">
        <v>252</v>
      </c>
      <c r="C9" s="9" t="s">
        <v>253</v>
      </c>
      <c r="D9" s="9" t="s">
        <v>239</v>
      </c>
      <c r="E9" s="9" t="s">
        <v>254</v>
      </c>
      <c r="F9" s="9" t="s">
        <v>255</v>
      </c>
      <c r="G9" s="9" t="s">
        <v>256</v>
      </c>
      <c r="H9" s="9" t="s">
        <v>257</v>
      </c>
      <c r="I9" s="9" t="s">
        <v>258</v>
      </c>
      <c r="J9" s="9"/>
    </row>
    <row r="10" spans="1:10">
      <c r="A10" s="9" t="s">
        <v>259</v>
      </c>
      <c r="B10" s="9" t="s">
        <v>260</v>
      </c>
      <c r="C10" s="9" t="s">
        <v>261</v>
      </c>
      <c r="D10" s="9" t="s">
        <v>239</v>
      </c>
      <c r="E10" s="9" t="s">
        <v>262</v>
      </c>
      <c r="F10" s="9" t="s">
        <v>263</v>
      </c>
      <c r="G10" s="9" t="s">
        <v>264</v>
      </c>
      <c r="H10" s="9" t="s">
        <v>265</v>
      </c>
      <c r="I10" s="9" t="s">
        <v>258</v>
      </c>
      <c r="J10" s="9"/>
    </row>
    <row r="11" spans="1:10" ht="30" customHeight="1">
      <c r="A11" s="9" t="s">
        <v>266</v>
      </c>
      <c r="B11" s="9" t="s">
        <v>267</v>
      </c>
      <c r="C11" s="9" t="s">
        <v>229</v>
      </c>
      <c r="D11" s="9" t="s">
        <v>247</v>
      </c>
      <c r="E11" s="9" t="s">
        <v>268</v>
      </c>
      <c r="F11" s="9" t="s">
        <v>249</v>
      </c>
      <c r="G11" s="9" t="s">
        <v>269</v>
      </c>
      <c r="H11" s="9" t="s">
        <v>270</v>
      </c>
      <c r="I11" s="9" t="s">
        <v>235</v>
      </c>
      <c r="J11" s="9"/>
    </row>
    <row r="12" spans="1:10" ht="30" customHeight="1">
      <c r="A12" s="9" t="s">
        <v>271</v>
      </c>
      <c r="B12" s="9" t="s">
        <v>272</v>
      </c>
      <c r="C12" s="9" t="s">
        <v>273</v>
      </c>
      <c r="D12" s="9" t="s">
        <v>274</v>
      </c>
      <c r="E12" s="9" t="s">
        <v>275</v>
      </c>
      <c r="F12" s="9" t="s">
        <v>276</v>
      </c>
      <c r="G12" s="9" t="s">
        <v>277</v>
      </c>
      <c r="H12" s="9" t="s">
        <v>278</v>
      </c>
      <c r="I12" s="9" t="s">
        <v>235</v>
      </c>
      <c r="J12" s="9"/>
    </row>
    <row r="13" spans="1:10" ht="45" customHeight="1">
      <c r="A13" s="9" t="s">
        <v>279</v>
      </c>
      <c r="B13" s="9" t="s">
        <v>280</v>
      </c>
      <c r="C13" s="9" t="s">
        <v>281</v>
      </c>
      <c r="D13" s="9" t="s">
        <v>282</v>
      </c>
      <c r="E13" s="9" t="s">
        <v>283</v>
      </c>
      <c r="F13" s="9" t="s">
        <v>284</v>
      </c>
      <c r="G13" s="9" t="s">
        <v>285</v>
      </c>
      <c r="H13" s="9" t="s">
        <v>286</v>
      </c>
      <c r="I13" s="9" t="s">
        <v>235</v>
      </c>
      <c r="J13" s="9"/>
    </row>
    <row r="14" spans="1:10" ht="30" customHeight="1">
      <c r="A14" s="9" t="s">
        <v>287</v>
      </c>
      <c r="B14" s="9" t="s">
        <v>288</v>
      </c>
      <c r="C14" s="9" t="s">
        <v>253</v>
      </c>
      <c r="D14" s="9" t="s">
        <v>239</v>
      </c>
      <c r="E14" s="9" t="s">
        <v>289</v>
      </c>
      <c r="F14" s="9" t="s">
        <v>290</v>
      </c>
      <c r="G14" s="9" t="s">
        <v>291</v>
      </c>
      <c r="H14" s="9" t="s">
        <v>257</v>
      </c>
      <c r="I14" s="9" t="s">
        <v>258</v>
      </c>
      <c r="J14" s="9"/>
    </row>
    <row r="15" spans="1:10" ht="30" customHeight="1">
      <c r="A15" s="9" t="s">
        <v>292</v>
      </c>
      <c r="B15" s="9" t="s">
        <v>293</v>
      </c>
      <c r="C15" s="9" t="s">
        <v>229</v>
      </c>
      <c r="D15" s="9" t="s">
        <v>247</v>
      </c>
      <c r="E15" s="9" t="s">
        <v>294</v>
      </c>
      <c r="F15" s="9" t="s">
        <v>249</v>
      </c>
      <c r="G15" s="9" t="s">
        <v>295</v>
      </c>
      <c r="H15" s="9" t="s">
        <v>296</v>
      </c>
      <c r="I15" s="9" t="s">
        <v>235</v>
      </c>
      <c r="J15" s="9"/>
    </row>
    <row r="16" spans="1:10">
      <c r="A16" s="9" t="s">
        <v>297</v>
      </c>
      <c r="B16" s="9" t="s">
        <v>298</v>
      </c>
      <c r="C16" s="9" t="s">
        <v>299</v>
      </c>
      <c r="D16" s="9" t="s">
        <v>300</v>
      </c>
      <c r="E16" s="9" t="s">
        <v>301</v>
      </c>
      <c r="F16" s="9" t="s">
        <v>302</v>
      </c>
      <c r="G16" s="9" t="s">
        <v>303</v>
      </c>
      <c r="H16" s="9" t="s">
        <v>304</v>
      </c>
      <c r="I16" s="9" t="s">
        <v>235</v>
      </c>
      <c r="J16" s="9"/>
    </row>
    <row r="17" spans="1:10" ht="30" customHeight="1">
      <c r="A17" s="9" t="s">
        <v>305</v>
      </c>
      <c r="B17" s="9" t="s">
        <v>306</v>
      </c>
      <c r="C17" s="9" t="s">
        <v>229</v>
      </c>
      <c r="D17" s="9" t="s">
        <v>307</v>
      </c>
      <c r="E17" s="9" t="s">
        <v>308</v>
      </c>
      <c r="F17" s="9" t="s">
        <v>309</v>
      </c>
      <c r="G17" s="9" t="s">
        <v>310</v>
      </c>
      <c r="H17" s="9" t="s">
        <v>311</v>
      </c>
      <c r="I17" s="9" t="s">
        <v>235</v>
      </c>
      <c r="J17" s="9"/>
    </row>
    <row r="18" spans="1:10" ht="30" customHeight="1">
      <c r="A18" s="9" t="s">
        <v>312</v>
      </c>
      <c r="B18" s="9" t="s">
        <v>313</v>
      </c>
      <c r="C18" s="9" t="s">
        <v>229</v>
      </c>
      <c r="D18" s="9" t="s">
        <v>247</v>
      </c>
      <c r="E18" s="9" t="s">
        <v>314</v>
      </c>
      <c r="F18" s="9" t="s">
        <v>315</v>
      </c>
      <c r="G18" s="9" t="s">
        <v>316</v>
      </c>
      <c r="H18" s="9" t="s">
        <v>317</v>
      </c>
      <c r="I18" s="9" t="s">
        <v>235</v>
      </c>
      <c r="J18" s="9"/>
    </row>
    <row r="19" spans="1:10">
      <c r="A19" s="9" t="s">
        <v>318</v>
      </c>
      <c r="B19" s="9" t="s">
        <v>319</v>
      </c>
      <c r="C19" s="9" t="s">
        <v>253</v>
      </c>
      <c r="D19" s="9" t="s">
        <v>239</v>
      </c>
      <c r="E19" s="9" t="s">
        <v>320</v>
      </c>
      <c r="F19" s="9" t="s">
        <v>309</v>
      </c>
      <c r="G19" s="9" t="s">
        <v>321</v>
      </c>
      <c r="H19" s="9" t="s">
        <v>322</v>
      </c>
      <c r="I19" s="9" t="s">
        <v>258</v>
      </c>
      <c r="J19" s="9"/>
    </row>
    <row r="20" spans="1:10">
      <c r="A20" s="9" t="s">
        <v>323</v>
      </c>
      <c r="B20" s="9" t="s">
        <v>324</v>
      </c>
      <c r="C20" s="9" t="s">
        <v>238</v>
      </c>
      <c r="D20" s="9" t="s">
        <v>239</v>
      </c>
      <c r="E20" s="9" t="s">
        <v>325</v>
      </c>
      <c r="F20" s="9" t="s">
        <v>326</v>
      </c>
      <c r="G20" s="9" t="s">
        <v>327</v>
      </c>
      <c r="H20" s="9" t="s">
        <v>328</v>
      </c>
      <c r="I20" s="9" t="s">
        <v>244</v>
      </c>
      <c r="J20" s="9"/>
    </row>
    <row r="21" spans="1:10">
      <c r="A21" s="9" t="s">
        <v>329</v>
      </c>
      <c r="B21" s="9" t="s">
        <v>330</v>
      </c>
      <c r="C21" s="9" t="s">
        <v>238</v>
      </c>
      <c r="D21" s="9" t="s">
        <v>239</v>
      </c>
      <c r="E21" s="9" t="s">
        <v>331</v>
      </c>
      <c r="F21" s="9" t="s">
        <v>332</v>
      </c>
      <c r="G21" s="9" t="s">
        <v>333</v>
      </c>
      <c r="H21" s="9" t="s">
        <v>334</v>
      </c>
      <c r="I21" s="9" t="s">
        <v>244</v>
      </c>
      <c r="J21" s="9"/>
    </row>
    <row r="22" spans="1:10" ht="45" customHeight="1">
      <c r="A22" s="9" t="s">
        <v>335</v>
      </c>
      <c r="B22" s="9" t="s">
        <v>336</v>
      </c>
      <c r="C22" s="9" t="s">
        <v>337</v>
      </c>
      <c r="D22" s="9" t="s">
        <v>282</v>
      </c>
      <c r="E22" s="9" t="s">
        <v>338</v>
      </c>
      <c r="F22" s="9" t="s">
        <v>339</v>
      </c>
      <c r="G22" s="9" t="s">
        <v>340</v>
      </c>
      <c r="H22" s="9" t="s">
        <v>341</v>
      </c>
      <c r="I22" s="9" t="s">
        <v>235</v>
      </c>
      <c r="J22" s="9"/>
    </row>
    <row r="23" spans="1:10">
      <c r="A23" s="9" t="s">
        <v>342</v>
      </c>
      <c r="B23" s="9" t="s">
        <v>343</v>
      </c>
      <c r="C23" s="9" t="s">
        <v>344</v>
      </c>
      <c r="D23" s="9" t="s">
        <v>282</v>
      </c>
      <c r="E23" s="9" t="s">
        <v>345</v>
      </c>
      <c r="F23" s="9" t="s">
        <v>346</v>
      </c>
      <c r="G23" s="9" t="s">
        <v>347</v>
      </c>
      <c r="H23" s="9" t="s">
        <v>341</v>
      </c>
      <c r="I23" s="9" t="s">
        <v>235</v>
      </c>
      <c r="J23" s="9"/>
    </row>
    <row r="24" spans="1:10" ht="45" customHeight="1">
      <c r="A24" s="9" t="s">
        <v>348</v>
      </c>
      <c r="B24" s="9" t="s">
        <v>349</v>
      </c>
      <c r="C24" s="9" t="s">
        <v>337</v>
      </c>
      <c r="D24" s="9" t="s">
        <v>282</v>
      </c>
      <c r="E24" s="9" t="s">
        <v>350</v>
      </c>
      <c r="F24" s="9" t="s">
        <v>351</v>
      </c>
      <c r="G24" s="9" t="s">
        <v>352</v>
      </c>
      <c r="H24" s="9" t="s">
        <v>341</v>
      </c>
      <c r="I24" s="9" t="s">
        <v>235</v>
      </c>
      <c r="J24" s="9"/>
    </row>
    <row r="25" spans="1:10" ht="30" customHeight="1">
      <c r="A25" s="9" t="s">
        <v>353</v>
      </c>
      <c r="B25" s="9" t="s">
        <v>354</v>
      </c>
      <c r="C25" s="9" t="s">
        <v>355</v>
      </c>
      <c r="D25" s="9" t="s">
        <v>356</v>
      </c>
      <c r="E25" s="9" t="s">
        <v>357</v>
      </c>
      <c r="F25" s="9" t="s">
        <v>358</v>
      </c>
      <c r="G25" s="9" t="s">
        <v>359</v>
      </c>
      <c r="H25" s="9" t="s">
        <v>360</v>
      </c>
      <c r="I25" s="9" t="s">
        <v>235</v>
      </c>
      <c r="J25" s="9"/>
    </row>
    <row r="26" spans="1:10" ht="30" customHeight="1">
      <c r="A26" s="9" t="s">
        <v>361</v>
      </c>
      <c r="B26" s="9" t="s">
        <v>362</v>
      </c>
      <c r="C26" s="9" t="s">
        <v>363</v>
      </c>
      <c r="D26" s="9" t="s">
        <v>364</v>
      </c>
      <c r="E26" s="9" t="s">
        <v>365</v>
      </c>
      <c r="F26" s="9" t="s">
        <v>339</v>
      </c>
      <c r="G26" s="9" t="s">
        <v>366</v>
      </c>
      <c r="H26" s="9" t="s">
        <v>341</v>
      </c>
      <c r="I26" s="9" t="s">
        <v>235</v>
      </c>
      <c r="J26" s="9"/>
    </row>
    <row r="27" spans="1:10" ht="45" customHeight="1">
      <c r="A27" s="9" t="s">
        <v>367</v>
      </c>
      <c r="B27" s="9" t="s">
        <v>368</v>
      </c>
      <c r="C27" s="9" t="s">
        <v>337</v>
      </c>
      <c r="D27" s="9" t="s">
        <v>282</v>
      </c>
      <c r="E27" s="9" t="s">
        <v>369</v>
      </c>
      <c r="F27" s="9" t="s">
        <v>370</v>
      </c>
      <c r="G27" s="9" t="s">
        <v>371</v>
      </c>
      <c r="H27" s="9" t="s">
        <v>341</v>
      </c>
      <c r="I27" s="9" t="s">
        <v>235</v>
      </c>
      <c r="J27" s="9"/>
    </row>
    <row r="28" spans="1:10" ht="30" customHeight="1">
      <c r="A28" s="9" t="s">
        <v>372</v>
      </c>
      <c r="B28" s="9" t="s">
        <v>373</v>
      </c>
      <c r="C28" s="9" t="s">
        <v>304</v>
      </c>
      <c r="D28" s="9" t="s">
        <v>374</v>
      </c>
      <c r="E28" s="9" t="s">
        <v>375</v>
      </c>
      <c r="F28" s="9" t="s">
        <v>376</v>
      </c>
      <c r="G28" s="9" t="s">
        <v>377</v>
      </c>
      <c r="H28" s="9" t="s">
        <v>299</v>
      </c>
      <c r="I28" s="9" t="s">
        <v>235</v>
      </c>
      <c r="J28" s="9"/>
    </row>
    <row r="29" spans="1:10">
      <c r="A29" s="9" t="s">
        <v>378</v>
      </c>
      <c r="B29" s="9" t="s">
        <v>379</v>
      </c>
      <c r="C29" s="9" t="s">
        <v>189</v>
      </c>
      <c r="D29" s="9" t="s">
        <v>380</v>
      </c>
      <c r="E29" s="9" t="s">
        <v>381</v>
      </c>
      <c r="F29" s="9" t="s">
        <v>382</v>
      </c>
      <c r="G29" s="9" t="s">
        <v>383</v>
      </c>
      <c r="H29" s="9" t="s">
        <v>384</v>
      </c>
      <c r="I29" s="9" t="s">
        <v>244</v>
      </c>
      <c r="J29" s="9"/>
    </row>
    <row r="30" spans="1:10" ht="45" customHeight="1">
      <c r="A30" s="9" t="s">
        <v>385</v>
      </c>
      <c r="B30" s="9" t="s">
        <v>386</v>
      </c>
      <c r="C30" s="9" t="s">
        <v>229</v>
      </c>
      <c r="D30" s="9" t="s">
        <v>247</v>
      </c>
      <c r="E30" s="9" t="s">
        <v>387</v>
      </c>
      <c r="F30" s="9" t="s">
        <v>339</v>
      </c>
      <c r="G30" s="9" t="s">
        <v>388</v>
      </c>
      <c r="H30" s="9" t="s">
        <v>389</v>
      </c>
      <c r="I30" s="9" t="s">
        <v>235</v>
      </c>
      <c r="J30" s="9"/>
    </row>
    <row r="31" spans="1:10">
      <c r="A31" s="9" t="s">
        <v>390</v>
      </c>
      <c r="B31" s="9" t="s">
        <v>391</v>
      </c>
      <c r="C31" s="9" t="s">
        <v>238</v>
      </c>
      <c r="D31" s="9" t="s">
        <v>239</v>
      </c>
      <c r="E31" s="9" t="s">
        <v>392</v>
      </c>
      <c r="F31" s="9" t="s">
        <v>382</v>
      </c>
      <c r="G31" s="9" t="s">
        <v>393</v>
      </c>
      <c r="H31" s="9" t="s">
        <v>394</v>
      </c>
      <c r="I31" s="9" t="s">
        <v>244</v>
      </c>
      <c r="J31" s="9"/>
    </row>
    <row r="32" spans="1:10">
      <c r="A32" s="9" t="s">
        <v>395</v>
      </c>
      <c r="B32" s="9" t="s">
        <v>396</v>
      </c>
      <c r="C32" s="9" t="s">
        <v>397</v>
      </c>
      <c r="D32" s="9" t="s">
        <v>398</v>
      </c>
      <c r="E32" s="9" t="s">
        <v>399</v>
      </c>
      <c r="F32" s="9" t="s">
        <v>263</v>
      </c>
      <c r="G32" s="9" t="s">
        <v>400</v>
      </c>
      <c r="H32" s="9" t="s">
        <v>341</v>
      </c>
      <c r="I32" s="9" t="s">
        <v>235</v>
      </c>
      <c r="J32" s="9"/>
    </row>
    <row r="33" spans="1:10" ht="30" customHeight="1">
      <c r="A33" s="9" t="s">
        <v>401</v>
      </c>
      <c r="B33" s="9" t="s">
        <v>402</v>
      </c>
      <c r="C33" s="9" t="s">
        <v>403</v>
      </c>
      <c r="D33" s="9" t="s">
        <v>404</v>
      </c>
      <c r="E33" s="9" t="s">
        <v>405</v>
      </c>
      <c r="F33" s="9" t="s">
        <v>382</v>
      </c>
      <c r="G33" s="9" t="s">
        <v>406</v>
      </c>
      <c r="H33" s="9" t="s">
        <v>407</v>
      </c>
      <c r="I33" s="9" t="s">
        <v>235</v>
      </c>
      <c r="J33" s="9"/>
    </row>
    <row r="34" spans="1:10" ht="30" customHeight="1">
      <c r="A34" s="9" t="s">
        <v>408</v>
      </c>
      <c r="B34" s="9" t="s">
        <v>409</v>
      </c>
      <c r="C34" s="9" t="s">
        <v>355</v>
      </c>
      <c r="D34" s="9" t="s">
        <v>410</v>
      </c>
      <c r="E34" s="9" t="s">
        <v>411</v>
      </c>
      <c r="F34" s="9" t="s">
        <v>412</v>
      </c>
      <c r="G34" s="9" t="s">
        <v>413</v>
      </c>
      <c r="H34" s="9" t="s">
        <v>360</v>
      </c>
      <c r="I34" s="9" t="s">
        <v>235</v>
      </c>
      <c r="J34" s="9"/>
    </row>
    <row r="35" spans="1:10">
      <c r="A35" s="9" t="s">
        <v>414</v>
      </c>
      <c r="B35" s="9" t="s">
        <v>415</v>
      </c>
      <c r="C35" s="9" t="s">
        <v>337</v>
      </c>
      <c r="D35" s="9" t="s">
        <v>282</v>
      </c>
      <c r="E35" s="9" t="s">
        <v>345</v>
      </c>
      <c r="F35" s="9" t="s">
        <v>416</v>
      </c>
      <c r="G35" s="9" t="s">
        <v>417</v>
      </c>
      <c r="H35" s="9" t="s">
        <v>341</v>
      </c>
      <c r="I35" s="9" t="s">
        <v>235</v>
      </c>
      <c r="J35" s="9"/>
    </row>
    <row r="36" spans="1:10" ht="30" customHeight="1">
      <c r="A36" s="9" t="s">
        <v>418</v>
      </c>
      <c r="B36" s="9" t="s">
        <v>419</v>
      </c>
      <c r="C36" s="9" t="s">
        <v>420</v>
      </c>
      <c r="D36" s="9" t="s">
        <v>421</v>
      </c>
      <c r="E36" s="9" t="s">
        <v>422</v>
      </c>
      <c r="F36" s="9" t="s">
        <v>302</v>
      </c>
      <c r="G36" s="9" t="s">
        <v>423</v>
      </c>
      <c r="H36" s="9" t="s">
        <v>299</v>
      </c>
      <c r="I36" s="9" t="s">
        <v>235</v>
      </c>
      <c r="J36" s="9"/>
    </row>
    <row r="37" spans="1:10">
      <c r="A37" s="9" t="s">
        <v>424</v>
      </c>
      <c r="B37" s="9" t="s">
        <v>425</v>
      </c>
      <c r="C37" s="9" t="s">
        <v>253</v>
      </c>
      <c r="D37" s="9" t="s">
        <v>426</v>
      </c>
      <c r="E37" s="9" t="s">
        <v>427</v>
      </c>
      <c r="F37" s="9" t="s">
        <v>376</v>
      </c>
      <c r="G37" s="9" t="s">
        <v>428</v>
      </c>
      <c r="H37" s="9" t="s">
        <v>360</v>
      </c>
      <c r="I37" s="9" t="s">
        <v>235</v>
      </c>
      <c r="J37" s="9"/>
    </row>
    <row r="38" spans="1:10" ht="30" customHeight="1">
      <c r="A38" s="9" t="s">
        <v>429</v>
      </c>
      <c r="B38" s="9" t="s">
        <v>430</v>
      </c>
      <c r="C38" s="9" t="s">
        <v>355</v>
      </c>
      <c r="D38" s="9" t="s">
        <v>431</v>
      </c>
      <c r="E38" s="9" t="s">
        <v>432</v>
      </c>
      <c r="F38" s="9" t="s">
        <v>339</v>
      </c>
      <c r="G38" s="9" t="s">
        <v>433</v>
      </c>
      <c r="H38" s="9" t="s">
        <v>360</v>
      </c>
      <c r="I38" s="9" t="s">
        <v>235</v>
      </c>
      <c r="J38" s="9"/>
    </row>
    <row r="39" spans="1:10" ht="30" customHeight="1">
      <c r="A39" s="9" t="s">
        <v>434</v>
      </c>
      <c r="B39" s="9" t="s">
        <v>435</v>
      </c>
      <c r="C39" s="9" t="s">
        <v>436</v>
      </c>
      <c r="D39" s="9" t="s">
        <v>437</v>
      </c>
      <c r="E39" s="9" t="s">
        <v>435</v>
      </c>
      <c r="F39" s="9" t="s">
        <v>438</v>
      </c>
      <c r="G39" s="9" t="s">
        <v>439</v>
      </c>
      <c r="H39" s="9" t="s">
        <v>440</v>
      </c>
      <c r="I39" s="9" t="s">
        <v>441</v>
      </c>
      <c r="J39" s="9"/>
    </row>
    <row r="40" spans="1:10" ht="30" customHeight="1">
      <c r="A40" s="9" t="s">
        <v>442</v>
      </c>
      <c r="B40" s="9" t="s">
        <v>443</v>
      </c>
      <c r="C40" s="9" t="s">
        <v>436</v>
      </c>
      <c r="D40" s="9" t="s">
        <v>437</v>
      </c>
      <c r="E40" s="9" t="s">
        <v>443</v>
      </c>
      <c r="F40" s="9" t="s">
        <v>438</v>
      </c>
      <c r="G40" s="9" t="s">
        <v>444</v>
      </c>
      <c r="H40" s="9" t="s">
        <v>445</v>
      </c>
      <c r="I40" s="9" t="s">
        <v>441</v>
      </c>
      <c r="J40" s="9"/>
    </row>
    <row r="41" spans="1:10" ht="30" customHeight="1">
      <c r="A41" s="9" t="s">
        <v>446</v>
      </c>
      <c r="B41" s="9" t="s">
        <v>447</v>
      </c>
      <c r="C41" s="9" t="s">
        <v>436</v>
      </c>
      <c r="D41" s="9" t="s">
        <v>437</v>
      </c>
      <c r="E41" s="9" t="s">
        <v>447</v>
      </c>
      <c r="F41" s="9" t="s">
        <v>438</v>
      </c>
      <c r="G41" s="9" t="s">
        <v>448</v>
      </c>
      <c r="H41" s="9" t="s">
        <v>449</v>
      </c>
      <c r="I41" s="9" t="s">
        <v>441</v>
      </c>
      <c r="J41" s="9"/>
    </row>
    <row r="42" spans="1:10" ht="30" customHeight="1">
      <c r="A42" s="9" t="s">
        <v>450</v>
      </c>
      <c r="B42" s="9" t="s">
        <v>451</v>
      </c>
      <c r="C42" s="9" t="s">
        <v>436</v>
      </c>
      <c r="D42" s="9" t="s">
        <v>437</v>
      </c>
      <c r="E42" s="9" t="s">
        <v>451</v>
      </c>
      <c r="F42" s="9" t="s">
        <v>438</v>
      </c>
      <c r="G42" s="9" t="s">
        <v>452</v>
      </c>
      <c r="H42" s="9" t="s">
        <v>453</v>
      </c>
      <c r="I42" s="9" t="s">
        <v>441</v>
      </c>
      <c r="J42" s="9"/>
    </row>
    <row r="43" spans="1:10" ht="30" customHeight="1">
      <c r="A43" s="9" t="s">
        <v>454</v>
      </c>
      <c r="B43" s="9" t="s">
        <v>455</v>
      </c>
      <c r="C43" s="9" t="s">
        <v>436</v>
      </c>
      <c r="D43" s="9" t="s">
        <v>437</v>
      </c>
      <c r="E43" s="9" t="s">
        <v>455</v>
      </c>
      <c r="F43" s="9" t="s">
        <v>438</v>
      </c>
      <c r="G43" s="9" t="s">
        <v>456</v>
      </c>
      <c r="H43" s="9" t="s">
        <v>457</v>
      </c>
      <c r="I43" s="9" t="s">
        <v>441</v>
      </c>
      <c r="J43" s="9"/>
    </row>
    <row r="44" spans="1:10" ht="30" customHeight="1">
      <c r="A44" s="9" t="s">
        <v>458</v>
      </c>
      <c r="B44" s="9" t="s">
        <v>459</v>
      </c>
      <c r="C44" s="9" t="s">
        <v>436</v>
      </c>
      <c r="D44" s="9" t="s">
        <v>437</v>
      </c>
      <c r="E44" s="9" t="s">
        <v>459</v>
      </c>
      <c r="F44" s="9" t="s">
        <v>438</v>
      </c>
      <c r="G44" s="9" t="s">
        <v>460</v>
      </c>
      <c r="H44" s="9" t="s">
        <v>461</v>
      </c>
      <c r="I44" s="9" t="s">
        <v>441</v>
      </c>
      <c r="J44" s="9"/>
    </row>
    <row r="45" spans="1:10" ht="30" customHeight="1">
      <c r="A45" s="9" t="s">
        <v>462</v>
      </c>
      <c r="B45" s="9" t="s">
        <v>463</v>
      </c>
      <c r="C45" s="9" t="s">
        <v>436</v>
      </c>
      <c r="D45" s="9" t="s">
        <v>437</v>
      </c>
      <c r="E45" s="9" t="s">
        <v>463</v>
      </c>
      <c r="F45" s="9" t="s">
        <v>438</v>
      </c>
      <c r="G45" s="9" t="s">
        <v>464</v>
      </c>
      <c r="H45" s="9" t="s">
        <v>465</v>
      </c>
      <c r="I45" s="9" t="s">
        <v>441</v>
      </c>
      <c r="J45" s="9"/>
    </row>
    <row r="46" spans="1:10" ht="30" customHeight="1">
      <c r="A46" s="9" t="s">
        <v>466</v>
      </c>
      <c r="B46" s="9" t="s">
        <v>467</v>
      </c>
      <c r="C46" s="9" t="s">
        <v>436</v>
      </c>
      <c r="D46" s="9" t="s">
        <v>437</v>
      </c>
      <c r="E46" s="9" t="s">
        <v>467</v>
      </c>
      <c r="F46" s="9" t="s">
        <v>438</v>
      </c>
      <c r="G46" s="9" t="s">
        <v>468</v>
      </c>
      <c r="H46" s="9" t="s">
        <v>469</v>
      </c>
      <c r="I46" s="9" t="s">
        <v>441</v>
      </c>
      <c r="J46" s="9"/>
    </row>
    <row r="49" spans="1:10">
      <c r="A49" s="62" t="s">
        <v>470</v>
      </c>
      <c r="B49" s="69"/>
      <c r="C49" s="69"/>
      <c r="D49" s="69"/>
      <c r="E49" s="69"/>
      <c r="F49" s="69"/>
      <c r="G49" s="69"/>
      <c r="H49" s="69"/>
      <c r="I49" s="69"/>
      <c r="J49" s="69"/>
    </row>
    <row r="50" spans="1:10">
      <c r="A50" s="28" t="s">
        <v>471</v>
      </c>
      <c r="B50" s="28" t="s">
        <v>472</v>
      </c>
      <c r="C50" s="28" t="s">
        <v>473</v>
      </c>
      <c r="D50" s="28" t="s">
        <v>221</v>
      </c>
    </row>
    <row r="51" spans="1:10" ht="30" customHeight="1">
      <c r="A51" s="9" t="s">
        <v>474</v>
      </c>
      <c r="B51" s="9">
        <v>1</v>
      </c>
      <c r="C51" s="9" t="s">
        <v>475</v>
      </c>
      <c r="D51" s="9" t="s">
        <v>476</v>
      </c>
    </row>
    <row r="52" spans="1:10" ht="30" customHeight="1">
      <c r="A52" s="9" t="s">
        <v>477</v>
      </c>
      <c r="B52" s="9">
        <v>12</v>
      </c>
      <c r="C52" s="9" t="s">
        <v>475</v>
      </c>
      <c r="D52" s="9" t="s">
        <v>476</v>
      </c>
    </row>
    <row r="53" spans="1:10" ht="30" customHeight="1">
      <c r="A53" s="9" t="s">
        <v>478</v>
      </c>
      <c r="B53" s="9">
        <v>6</v>
      </c>
      <c r="C53" s="9" t="s">
        <v>475</v>
      </c>
      <c r="D53" s="9" t="s">
        <v>476</v>
      </c>
    </row>
    <row r="54" spans="1:10" ht="30" customHeight="1">
      <c r="A54" s="9" t="s">
        <v>479</v>
      </c>
      <c r="B54" s="9">
        <v>46</v>
      </c>
      <c r="C54" s="9" t="s">
        <v>475</v>
      </c>
      <c r="D54" s="9" t="s">
        <v>476</v>
      </c>
    </row>
    <row r="55" spans="1:10" ht="30" customHeight="1">
      <c r="A55" s="9" t="s">
        <v>480</v>
      </c>
      <c r="B55" s="9">
        <v>1</v>
      </c>
      <c r="C55" s="9" t="s">
        <v>475</v>
      </c>
      <c r="D55" s="9" t="s">
        <v>476</v>
      </c>
    </row>
    <row r="56" spans="1:10" ht="30" customHeight="1">
      <c r="A56" s="9" t="s">
        <v>481</v>
      </c>
      <c r="B56" s="9">
        <v>84</v>
      </c>
      <c r="C56" s="9" t="s">
        <v>475</v>
      </c>
      <c r="D56" s="9" t="s">
        <v>476</v>
      </c>
    </row>
    <row r="57" spans="1:10" ht="30" customHeight="1">
      <c r="A57" s="9" t="s">
        <v>482</v>
      </c>
      <c r="B57" s="9">
        <v>11</v>
      </c>
      <c r="C57" s="9" t="s">
        <v>475</v>
      </c>
      <c r="D57" s="9" t="s">
        <v>476</v>
      </c>
    </row>
    <row r="58" spans="1:10" ht="30" customHeight="1">
      <c r="A58" s="9" t="s">
        <v>483</v>
      </c>
      <c r="B58" s="9">
        <v>3</v>
      </c>
      <c r="C58" s="9" t="s">
        <v>475</v>
      </c>
      <c r="D58" s="9" t="s">
        <v>476</v>
      </c>
    </row>
    <row r="60" spans="1:10">
      <c r="A60" s="35" t="s">
        <v>484</v>
      </c>
    </row>
    <row r="61" spans="1:10">
      <c r="A61" t="s">
        <v>485</v>
      </c>
      <c r="B61" t="s">
        <v>486</v>
      </c>
      <c r="C61" t="s">
        <v>487</v>
      </c>
      <c r="D61" t="s">
        <v>488</v>
      </c>
      <c r="E61" t="s">
        <v>489</v>
      </c>
      <c r="F61" t="s">
        <v>490</v>
      </c>
      <c r="G61" t="s">
        <v>491</v>
      </c>
      <c r="H61" t="s">
        <v>243</v>
      </c>
      <c r="I61" t="s">
        <v>492</v>
      </c>
      <c r="J61" t="s">
        <v>493</v>
      </c>
    </row>
    <row r="62" spans="1:10">
      <c r="A62" t="s">
        <v>494</v>
      </c>
      <c r="B62" t="s">
        <v>495</v>
      </c>
      <c r="C62" t="s">
        <v>496</v>
      </c>
      <c r="D62" t="s">
        <v>488</v>
      </c>
      <c r="E62" t="s">
        <v>497</v>
      </c>
      <c r="F62" t="s">
        <v>302</v>
      </c>
      <c r="G62" t="s">
        <v>491</v>
      </c>
      <c r="H62" t="s">
        <v>498</v>
      </c>
      <c r="I62" t="s">
        <v>492</v>
      </c>
      <c r="J62" t="s">
        <v>499</v>
      </c>
    </row>
    <row r="63" spans="1:10">
      <c r="A63" t="s">
        <v>500</v>
      </c>
      <c r="B63" t="s">
        <v>501</v>
      </c>
      <c r="C63" t="s">
        <v>487</v>
      </c>
      <c r="D63" t="s">
        <v>488</v>
      </c>
      <c r="E63" t="s">
        <v>502</v>
      </c>
      <c r="F63" t="s">
        <v>503</v>
      </c>
      <c r="G63" t="s">
        <v>491</v>
      </c>
      <c r="H63" t="s">
        <v>498</v>
      </c>
      <c r="I63" t="s">
        <v>492</v>
      </c>
      <c r="J63" t="s">
        <v>504</v>
      </c>
    </row>
    <row r="64" spans="1:10">
      <c r="A64" t="s">
        <v>505</v>
      </c>
      <c r="B64" t="s">
        <v>506</v>
      </c>
      <c r="C64" t="s">
        <v>487</v>
      </c>
      <c r="D64" t="s">
        <v>488</v>
      </c>
      <c r="E64" t="s">
        <v>502</v>
      </c>
      <c r="F64" t="s">
        <v>503</v>
      </c>
      <c r="G64" t="s">
        <v>491</v>
      </c>
      <c r="H64" t="s">
        <v>498</v>
      </c>
      <c r="I64" t="s">
        <v>492</v>
      </c>
      <c r="J64" t="s">
        <v>507</v>
      </c>
    </row>
    <row r="65" spans="1:10">
      <c r="A65" t="s">
        <v>508</v>
      </c>
      <c r="B65" t="s">
        <v>509</v>
      </c>
      <c r="C65" t="s">
        <v>487</v>
      </c>
      <c r="D65" t="s">
        <v>488</v>
      </c>
      <c r="E65" t="s">
        <v>502</v>
      </c>
      <c r="F65" t="s">
        <v>503</v>
      </c>
      <c r="G65" t="s">
        <v>491</v>
      </c>
      <c r="H65" t="s">
        <v>498</v>
      </c>
      <c r="I65" t="s">
        <v>492</v>
      </c>
      <c r="J65" t="s">
        <v>507</v>
      </c>
    </row>
    <row r="66" spans="1:10">
      <c r="A66" t="s">
        <v>510</v>
      </c>
      <c r="B66" t="s">
        <v>511</v>
      </c>
      <c r="C66" t="s">
        <v>487</v>
      </c>
      <c r="D66" t="s">
        <v>488</v>
      </c>
      <c r="E66" t="s">
        <v>502</v>
      </c>
      <c r="F66" t="s">
        <v>503</v>
      </c>
      <c r="G66" t="s">
        <v>491</v>
      </c>
      <c r="H66" t="s">
        <v>498</v>
      </c>
      <c r="I66" t="s">
        <v>492</v>
      </c>
      <c r="J66" t="s">
        <v>512</v>
      </c>
    </row>
    <row r="67" spans="1:10">
      <c r="A67" t="s">
        <v>513</v>
      </c>
      <c r="B67" t="s">
        <v>514</v>
      </c>
      <c r="C67" t="s">
        <v>487</v>
      </c>
      <c r="D67" t="s">
        <v>488</v>
      </c>
      <c r="E67" t="s">
        <v>502</v>
      </c>
      <c r="F67" t="s">
        <v>302</v>
      </c>
      <c r="G67" t="s">
        <v>491</v>
      </c>
      <c r="H67" t="s">
        <v>498</v>
      </c>
      <c r="I67" t="s">
        <v>492</v>
      </c>
      <c r="J67" t="s">
        <v>515</v>
      </c>
    </row>
    <row r="68" spans="1:10">
      <c r="A68" t="s">
        <v>516</v>
      </c>
      <c r="B68" t="s">
        <v>517</v>
      </c>
      <c r="C68" t="s">
        <v>518</v>
      </c>
      <c r="D68" t="s">
        <v>488</v>
      </c>
      <c r="E68" t="s">
        <v>497</v>
      </c>
      <c r="F68" t="s">
        <v>339</v>
      </c>
      <c r="G68" t="s">
        <v>491</v>
      </c>
      <c r="H68" t="s">
        <v>519</v>
      </c>
      <c r="I68" t="s">
        <v>492</v>
      </c>
      <c r="J68" t="s">
        <v>520</v>
      </c>
    </row>
    <row r="69" spans="1:10">
      <c r="A69" t="s">
        <v>521</v>
      </c>
      <c r="B69" t="s">
        <v>522</v>
      </c>
      <c r="C69" t="s">
        <v>523</v>
      </c>
      <c r="D69" t="s">
        <v>488</v>
      </c>
      <c r="E69" t="s">
        <v>524</v>
      </c>
      <c r="F69" t="s">
        <v>490</v>
      </c>
      <c r="G69" t="s">
        <v>491</v>
      </c>
      <c r="H69" t="s">
        <v>243</v>
      </c>
      <c r="I69" t="s">
        <v>492</v>
      </c>
      <c r="J69" t="s">
        <v>525</v>
      </c>
    </row>
  </sheetData>
  <mergeCells count="3">
    <mergeCell ref="A1:J2"/>
    <mergeCell ref="A3:J3"/>
    <mergeCell ref="A49:J49"/>
  </mergeCells>
  <pageMargins left="0.75" right="0.75" top="1" bottom="1" header="0.5" footer="0.5"/>
  <pageSetup fitToHeight="0"/>
  <headerFooter>
    <oddFooter>&amp;CCrowdStrike REVEAL Simplified Research Workbench | Human Review Required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W127"/>
  <sheetViews>
    <sheetView showGridLines="0" workbookViewId="0">
      <pane xSplit="7" ySplit="5" topLeftCell="H6" activePane="bottomRight" state="frozen"/>
      <selection pane="bottomRight" activeCell="A3" sqref="A3"/>
      <selection pane="bottomLeft" sqref="A1:J2"/>
      <selection pane="topRight" sqref="A1:J2"/>
    </sheetView>
  </sheetViews>
  <sheetFormatPr defaultRowHeight="15"/>
  <cols>
    <col min="1" max="1" width="22" customWidth="1"/>
    <col min="2" max="2" width="21.7109375" customWidth="1"/>
    <col min="3" max="3" width="25" customWidth="1"/>
    <col min="4" max="4" width="22" customWidth="1"/>
    <col min="5" max="5" width="20.7109375" customWidth="1"/>
    <col min="6" max="6" width="14" customWidth="1"/>
    <col min="7" max="7" width="24" customWidth="1"/>
    <col min="8" max="8" width="65" customWidth="1"/>
    <col min="9" max="9" width="58" customWidth="1"/>
    <col min="10" max="10" width="34" customWidth="1"/>
    <col min="11" max="11" width="22" customWidth="1"/>
    <col min="12" max="12" width="23" customWidth="1"/>
    <col min="13" max="13" width="25" customWidth="1"/>
    <col min="14" max="15" width="30" customWidth="1"/>
    <col min="16" max="16" width="22" customWidth="1"/>
    <col min="17" max="17" width="18" customWidth="1"/>
    <col min="18" max="18" width="22" customWidth="1"/>
    <col min="19" max="19" width="18" customWidth="1"/>
    <col min="20" max="20" width="55" customWidth="1"/>
    <col min="21" max="21" width="30" customWidth="1"/>
    <col min="22" max="22" width="28" customWidth="1"/>
    <col min="23" max="23" width="42" customWidth="1"/>
  </cols>
  <sheetData>
    <row r="1" spans="1:23">
      <c r="A1" s="37" t="s">
        <v>67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23" ht="33.950000000000003" customHeight="1">
      <c r="A3" s="47" t="s">
        <v>526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5" spans="1:23">
      <c r="A5" s="23" t="s">
        <v>527</v>
      </c>
      <c r="B5" s="23" t="s">
        <v>528</v>
      </c>
      <c r="C5" s="23" t="s">
        <v>529</v>
      </c>
      <c r="D5" s="23" t="s">
        <v>173</v>
      </c>
      <c r="E5" s="23" t="s">
        <v>530</v>
      </c>
      <c r="F5" s="23" t="s">
        <v>531</v>
      </c>
      <c r="G5" s="23" t="s">
        <v>130</v>
      </c>
      <c r="H5" s="23" t="s">
        <v>174</v>
      </c>
      <c r="I5" s="23" t="s">
        <v>532</v>
      </c>
      <c r="J5" s="23" t="s">
        <v>533</v>
      </c>
      <c r="K5" s="23" t="s">
        <v>534</v>
      </c>
      <c r="L5" s="23" t="s">
        <v>134</v>
      </c>
      <c r="M5" s="23" t="s">
        <v>140</v>
      </c>
      <c r="N5" s="23" t="s">
        <v>142</v>
      </c>
      <c r="O5" s="23" t="s">
        <v>144</v>
      </c>
      <c r="P5" s="23" t="s">
        <v>146</v>
      </c>
      <c r="Q5" s="23" t="s">
        <v>148</v>
      </c>
      <c r="R5" s="23" t="s">
        <v>535</v>
      </c>
      <c r="S5" s="23" t="s">
        <v>536</v>
      </c>
      <c r="T5" s="23" t="s">
        <v>537</v>
      </c>
      <c r="U5" s="23" t="s">
        <v>538</v>
      </c>
      <c r="V5" s="23" t="s">
        <v>539</v>
      </c>
      <c r="W5" s="23" t="s">
        <v>177</v>
      </c>
    </row>
    <row r="6" spans="1:23" ht="45" customHeight="1">
      <c r="A6" s="22" t="s">
        <v>540</v>
      </c>
      <c r="B6" s="9" t="s">
        <v>464</v>
      </c>
      <c r="C6" s="9" t="s">
        <v>541</v>
      </c>
      <c r="D6" s="9" t="s">
        <v>542</v>
      </c>
      <c r="E6" s="9" t="s">
        <v>464</v>
      </c>
      <c r="F6" s="9" t="s">
        <v>543</v>
      </c>
      <c r="G6" s="9" t="s">
        <v>544</v>
      </c>
      <c r="H6" s="9" t="s">
        <v>545</v>
      </c>
      <c r="I6" s="9" t="s">
        <v>545</v>
      </c>
      <c r="J6" s="9" t="s">
        <v>463</v>
      </c>
      <c r="K6" s="9" t="s">
        <v>243</v>
      </c>
      <c r="L6" s="9" t="s">
        <v>546</v>
      </c>
      <c r="M6" s="9" t="s">
        <v>547</v>
      </c>
      <c r="N6" s="9" t="s">
        <v>548</v>
      </c>
      <c r="O6" s="9" t="s">
        <v>549</v>
      </c>
      <c r="P6" s="9" t="s">
        <v>550</v>
      </c>
      <c r="Q6" s="9" t="s">
        <v>196</v>
      </c>
      <c r="R6" s="9" t="s">
        <v>551</v>
      </c>
      <c r="S6" s="9" t="s">
        <v>552</v>
      </c>
      <c r="T6" s="9" t="s">
        <v>553</v>
      </c>
      <c r="U6" s="9" t="s">
        <v>554</v>
      </c>
      <c r="V6" s="9"/>
      <c r="W6" s="9" t="s">
        <v>463</v>
      </c>
    </row>
    <row r="7" spans="1:23" ht="30" customHeight="1">
      <c r="A7" s="22" t="s">
        <v>540</v>
      </c>
      <c r="B7" s="9" t="s">
        <v>555</v>
      </c>
      <c r="C7" s="9" t="s">
        <v>541</v>
      </c>
      <c r="D7" s="9" t="s">
        <v>542</v>
      </c>
      <c r="E7" s="9" t="s">
        <v>555</v>
      </c>
      <c r="F7" s="9" t="s">
        <v>543</v>
      </c>
      <c r="G7" s="9" t="s">
        <v>556</v>
      </c>
      <c r="H7" s="9" t="s">
        <v>557</v>
      </c>
      <c r="I7" s="9" t="s">
        <v>557</v>
      </c>
      <c r="J7" s="9" t="s">
        <v>451</v>
      </c>
      <c r="K7" s="9" t="s">
        <v>243</v>
      </c>
      <c r="L7" s="9" t="s">
        <v>546</v>
      </c>
      <c r="M7" s="9" t="s">
        <v>558</v>
      </c>
      <c r="N7" s="9" t="s">
        <v>559</v>
      </c>
      <c r="O7" s="9" t="s">
        <v>560</v>
      </c>
      <c r="P7" s="9" t="s">
        <v>561</v>
      </c>
      <c r="Q7" s="9" t="s">
        <v>196</v>
      </c>
      <c r="R7" s="9" t="s">
        <v>551</v>
      </c>
      <c r="S7" s="9" t="s">
        <v>552</v>
      </c>
      <c r="T7" s="9" t="s">
        <v>562</v>
      </c>
      <c r="U7" s="9" t="s">
        <v>563</v>
      </c>
      <c r="V7" s="9"/>
      <c r="W7" s="9" t="s">
        <v>451</v>
      </c>
    </row>
    <row r="8" spans="1:23" ht="30" customHeight="1">
      <c r="A8" s="22" t="s">
        <v>540</v>
      </c>
      <c r="B8" s="9" t="s">
        <v>564</v>
      </c>
      <c r="C8" s="9" t="s">
        <v>541</v>
      </c>
      <c r="D8" s="9" t="s">
        <v>542</v>
      </c>
      <c r="E8" s="9" t="s">
        <v>564</v>
      </c>
      <c r="F8" s="9" t="s">
        <v>543</v>
      </c>
      <c r="G8" s="9" t="s">
        <v>556</v>
      </c>
      <c r="H8" s="9" t="s">
        <v>565</v>
      </c>
      <c r="I8" s="9" t="s">
        <v>565</v>
      </c>
      <c r="J8" s="9" t="s">
        <v>451</v>
      </c>
      <c r="K8" s="9" t="s">
        <v>243</v>
      </c>
      <c r="L8" s="9" t="s">
        <v>546</v>
      </c>
      <c r="M8" s="9" t="s">
        <v>566</v>
      </c>
      <c r="N8" s="9" t="s">
        <v>567</v>
      </c>
      <c r="O8" s="9" t="s">
        <v>560</v>
      </c>
      <c r="P8" s="9" t="s">
        <v>561</v>
      </c>
      <c r="Q8" s="9" t="s">
        <v>196</v>
      </c>
      <c r="R8" s="9" t="s">
        <v>551</v>
      </c>
      <c r="S8" s="9" t="s">
        <v>552</v>
      </c>
      <c r="T8" s="9" t="s">
        <v>568</v>
      </c>
      <c r="U8" s="9" t="s">
        <v>563</v>
      </c>
      <c r="V8" s="9"/>
      <c r="W8" s="9" t="s">
        <v>451</v>
      </c>
    </row>
    <row r="9" spans="1:23" ht="30" customHeight="1">
      <c r="A9" s="22" t="s">
        <v>540</v>
      </c>
      <c r="B9" s="9" t="s">
        <v>569</v>
      </c>
      <c r="C9" s="9" t="s">
        <v>541</v>
      </c>
      <c r="D9" s="9" t="s">
        <v>542</v>
      </c>
      <c r="E9" s="9" t="s">
        <v>569</v>
      </c>
      <c r="F9" s="9" t="s">
        <v>543</v>
      </c>
      <c r="G9" s="9" t="s">
        <v>570</v>
      </c>
      <c r="H9" s="9" t="s">
        <v>571</v>
      </c>
      <c r="I9" s="9" t="s">
        <v>571</v>
      </c>
      <c r="J9" s="9" t="s">
        <v>451</v>
      </c>
      <c r="K9" s="9" t="s">
        <v>243</v>
      </c>
      <c r="L9" s="9" t="s">
        <v>546</v>
      </c>
      <c r="M9" s="9" t="s">
        <v>572</v>
      </c>
      <c r="N9" s="9" t="s">
        <v>573</v>
      </c>
      <c r="O9" s="9" t="s">
        <v>574</v>
      </c>
      <c r="P9" s="9">
        <v>420</v>
      </c>
      <c r="Q9" s="9" t="s">
        <v>552</v>
      </c>
      <c r="R9" s="9" t="s">
        <v>551</v>
      </c>
      <c r="S9" s="9" t="s">
        <v>552</v>
      </c>
      <c r="T9" s="9" t="s">
        <v>575</v>
      </c>
      <c r="U9" s="9" t="s">
        <v>554</v>
      </c>
      <c r="V9" s="9"/>
      <c r="W9" s="9" t="s">
        <v>451</v>
      </c>
    </row>
    <row r="10" spans="1:23" ht="45" customHeight="1">
      <c r="A10" s="22" t="s">
        <v>540</v>
      </c>
      <c r="B10" s="9" t="s">
        <v>468</v>
      </c>
      <c r="C10" s="9" t="s">
        <v>541</v>
      </c>
      <c r="D10" s="9" t="s">
        <v>542</v>
      </c>
      <c r="E10" s="9" t="s">
        <v>468</v>
      </c>
      <c r="F10" s="9" t="s">
        <v>543</v>
      </c>
      <c r="G10" s="9" t="s">
        <v>576</v>
      </c>
      <c r="H10" s="9" t="s">
        <v>577</v>
      </c>
      <c r="I10" s="9" t="s">
        <v>577</v>
      </c>
      <c r="J10" s="9" t="s">
        <v>467</v>
      </c>
      <c r="K10" s="9" t="s">
        <v>243</v>
      </c>
      <c r="L10" s="9" t="s">
        <v>578</v>
      </c>
      <c r="M10" s="9" t="s">
        <v>579</v>
      </c>
      <c r="N10" s="9" t="s">
        <v>548</v>
      </c>
      <c r="O10" s="9" t="s">
        <v>580</v>
      </c>
      <c r="P10" s="9">
        <v>420</v>
      </c>
      <c r="Q10" s="9" t="s">
        <v>552</v>
      </c>
      <c r="R10" s="9" t="s">
        <v>551</v>
      </c>
      <c r="S10" s="9" t="s">
        <v>552</v>
      </c>
      <c r="T10" s="9" t="s">
        <v>581</v>
      </c>
      <c r="U10" s="9" t="s">
        <v>554</v>
      </c>
      <c r="V10" s="9"/>
      <c r="W10" s="9" t="s">
        <v>467</v>
      </c>
    </row>
    <row r="11" spans="1:23" ht="30" customHeight="1">
      <c r="A11" s="22" t="s">
        <v>540</v>
      </c>
      <c r="B11" s="9" t="s">
        <v>582</v>
      </c>
      <c r="C11" s="9" t="s">
        <v>541</v>
      </c>
      <c r="D11" s="9" t="s">
        <v>542</v>
      </c>
      <c r="E11" s="9" t="s">
        <v>582</v>
      </c>
      <c r="F11" s="9" t="s">
        <v>543</v>
      </c>
      <c r="G11" s="9" t="s">
        <v>556</v>
      </c>
      <c r="H11" s="9" t="s">
        <v>583</v>
      </c>
      <c r="I11" s="9" t="s">
        <v>583</v>
      </c>
      <c r="J11" s="9" t="s">
        <v>451</v>
      </c>
      <c r="K11" s="9" t="s">
        <v>243</v>
      </c>
      <c r="L11" s="9" t="s">
        <v>546</v>
      </c>
      <c r="M11" s="9" t="s">
        <v>584</v>
      </c>
      <c r="N11" s="9" t="s">
        <v>585</v>
      </c>
      <c r="O11" s="9" t="s">
        <v>586</v>
      </c>
      <c r="P11" s="9" t="s">
        <v>561</v>
      </c>
      <c r="Q11" s="9" t="s">
        <v>196</v>
      </c>
      <c r="R11" s="9" t="s">
        <v>551</v>
      </c>
      <c r="S11" s="9" t="s">
        <v>552</v>
      </c>
      <c r="T11" s="9" t="s">
        <v>587</v>
      </c>
      <c r="U11" s="9" t="s">
        <v>563</v>
      </c>
      <c r="V11" s="9"/>
      <c r="W11" s="9" t="s">
        <v>451</v>
      </c>
    </row>
    <row r="12" spans="1:23" ht="30" customHeight="1">
      <c r="A12" s="22" t="s">
        <v>540</v>
      </c>
      <c r="B12" s="9" t="s">
        <v>456</v>
      </c>
      <c r="C12" s="9" t="s">
        <v>541</v>
      </c>
      <c r="D12" s="9" t="s">
        <v>542</v>
      </c>
      <c r="E12" s="9" t="s">
        <v>456</v>
      </c>
      <c r="F12" s="9" t="s">
        <v>543</v>
      </c>
      <c r="G12" s="9" t="s">
        <v>588</v>
      </c>
      <c r="H12" s="9" t="s">
        <v>589</v>
      </c>
      <c r="I12" s="9" t="s">
        <v>589</v>
      </c>
      <c r="J12" s="9" t="s">
        <v>455</v>
      </c>
      <c r="K12" s="9" t="s">
        <v>243</v>
      </c>
      <c r="L12" s="9" t="s">
        <v>546</v>
      </c>
      <c r="M12" s="9" t="s">
        <v>29</v>
      </c>
      <c r="N12" s="9">
        <v>37.142857139999997</v>
      </c>
      <c r="O12" s="9" t="s">
        <v>590</v>
      </c>
      <c r="P12" s="9">
        <v>420</v>
      </c>
      <c r="Q12" s="9" t="s">
        <v>552</v>
      </c>
      <c r="R12" s="9" t="s">
        <v>551</v>
      </c>
      <c r="S12" s="9" t="s">
        <v>552</v>
      </c>
      <c r="T12" s="9" t="s">
        <v>591</v>
      </c>
      <c r="U12" s="9" t="s">
        <v>563</v>
      </c>
      <c r="V12" s="9" t="s">
        <v>592</v>
      </c>
      <c r="W12" s="9" t="s">
        <v>455</v>
      </c>
    </row>
    <row r="13" spans="1:23" ht="45" customHeight="1">
      <c r="A13" s="22" t="s">
        <v>540</v>
      </c>
      <c r="B13" s="9" t="s">
        <v>444</v>
      </c>
      <c r="C13" s="9" t="s">
        <v>541</v>
      </c>
      <c r="D13" s="9" t="s">
        <v>542</v>
      </c>
      <c r="E13" s="9" t="s">
        <v>444</v>
      </c>
      <c r="F13" s="9" t="s">
        <v>543</v>
      </c>
      <c r="G13" s="9" t="s">
        <v>593</v>
      </c>
      <c r="H13" s="9" t="s">
        <v>594</v>
      </c>
      <c r="I13" s="9" t="s">
        <v>594</v>
      </c>
      <c r="J13" s="9" t="s">
        <v>443</v>
      </c>
      <c r="K13" s="9" t="s">
        <v>243</v>
      </c>
      <c r="L13" s="9" t="s">
        <v>546</v>
      </c>
      <c r="M13" s="9" t="s">
        <v>31</v>
      </c>
      <c r="N13" s="9">
        <v>40.899795500000003</v>
      </c>
      <c r="O13" s="9" t="s">
        <v>595</v>
      </c>
      <c r="P13" s="9">
        <v>420</v>
      </c>
      <c r="Q13" s="9" t="s">
        <v>552</v>
      </c>
      <c r="R13" s="9" t="s">
        <v>551</v>
      </c>
      <c r="S13" s="9" t="s">
        <v>552</v>
      </c>
      <c r="T13" s="9" t="s">
        <v>596</v>
      </c>
      <c r="U13" s="9" t="s">
        <v>563</v>
      </c>
      <c r="V13" s="9" t="s">
        <v>592</v>
      </c>
      <c r="W13" s="9" t="s">
        <v>443</v>
      </c>
    </row>
    <row r="14" spans="1:23" ht="30" customHeight="1">
      <c r="A14" s="22" t="s">
        <v>540</v>
      </c>
      <c r="B14" s="9" t="s">
        <v>448</v>
      </c>
      <c r="C14" s="9" t="s">
        <v>541</v>
      </c>
      <c r="D14" s="9" t="s">
        <v>542</v>
      </c>
      <c r="E14" s="9" t="s">
        <v>448</v>
      </c>
      <c r="F14" s="9" t="s">
        <v>543</v>
      </c>
      <c r="G14" s="9" t="s">
        <v>597</v>
      </c>
      <c r="H14" s="9" t="s">
        <v>598</v>
      </c>
      <c r="I14" s="9" t="s">
        <v>598</v>
      </c>
      <c r="J14" s="9" t="s">
        <v>447</v>
      </c>
      <c r="K14" s="9" t="s">
        <v>243</v>
      </c>
      <c r="L14" s="9" t="s">
        <v>546</v>
      </c>
      <c r="M14" s="9" t="s">
        <v>599</v>
      </c>
      <c r="N14" s="9" t="s">
        <v>548</v>
      </c>
      <c r="O14" s="9" t="s">
        <v>600</v>
      </c>
      <c r="P14" s="9" t="s">
        <v>601</v>
      </c>
      <c r="Q14" s="9" t="s">
        <v>196</v>
      </c>
      <c r="R14" s="9" t="s">
        <v>551</v>
      </c>
      <c r="S14" s="9" t="s">
        <v>552</v>
      </c>
      <c r="T14" s="9" t="s">
        <v>602</v>
      </c>
      <c r="U14" s="9" t="s">
        <v>563</v>
      </c>
      <c r="V14" s="9"/>
      <c r="W14" s="9" t="s">
        <v>447</v>
      </c>
    </row>
    <row r="15" spans="1:23" ht="45" customHeight="1">
      <c r="A15" s="22" t="s">
        <v>540</v>
      </c>
      <c r="B15" s="9" t="s">
        <v>439</v>
      </c>
      <c r="C15" s="9" t="s">
        <v>541</v>
      </c>
      <c r="D15" s="9" t="s">
        <v>542</v>
      </c>
      <c r="E15" s="9" t="s">
        <v>439</v>
      </c>
      <c r="F15" s="9" t="s">
        <v>543</v>
      </c>
      <c r="G15" s="9" t="s">
        <v>33</v>
      </c>
      <c r="H15" s="9" t="s">
        <v>603</v>
      </c>
      <c r="I15" s="9" t="s">
        <v>603</v>
      </c>
      <c r="J15" s="9" t="s">
        <v>435</v>
      </c>
      <c r="K15" s="9" t="s">
        <v>243</v>
      </c>
      <c r="L15" s="9" t="s">
        <v>604</v>
      </c>
      <c r="M15" s="9" t="s">
        <v>440</v>
      </c>
      <c r="N15" s="9" t="s">
        <v>605</v>
      </c>
      <c r="O15" s="9" t="s">
        <v>606</v>
      </c>
      <c r="P15" s="9">
        <v>420</v>
      </c>
      <c r="Q15" s="9" t="s">
        <v>552</v>
      </c>
      <c r="R15" s="9" t="s">
        <v>551</v>
      </c>
      <c r="S15" s="9" t="s">
        <v>552</v>
      </c>
      <c r="T15" s="9" t="s">
        <v>607</v>
      </c>
      <c r="U15" s="9" t="s">
        <v>563</v>
      </c>
      <c r="V15" s="9" t="s">
        <v>592</v>
      </c>
      <c r="W15" s="9" t="s">
        <v>435</v>
      </c>
    </row>
    <row r="16" spans="1:23" ht="30" customHeight="1">
      <c r="A16" s="27" t="s">
        <v>608</v>
      </c>
      <c r="B16" s="9" t="s">
        <v>609</v>
      </c>
      <c r="C16" s="9" t="s">
        <v>610</v>
      </c>
      <c r="D16" s="9" t="s">
        <v>190</v>
      </c>
      <c r="E16" s="9" t="s">
        <v>611</v>
      </c>
      <c r="F16" s="9" t="s">
        <v>612</v>
      </c>
      <c r="G16" s="9" t="s">
        <v>613</v>
      </c>
      <c r="H16" s="9" t="s">
        <v>614</v>
      </c>
      <c r="I16" s="9" t="s">
        <v>615</v>
      </c>
      <c r="J16" s="9" t="s">
        <v>616</v>
      </c>
      <c r="K16" s="9" t="s">
        <v>328</v>
      </c>
      <c r="L16" s="9" t="s">
        <v>302</v>
      </c>
      <c r="M16" s="9" t="s">
        <v>617</v>
      </c>
      <c r="N16" s="9" t="s">
        <v>618</v>
      </c>
      <c r="O16" s="9" t="s">
        <v>619</v>
      </c>
      <c r="P16" s="9" t="s">
        <v>616</v>
      </c>
      <c r="Q16" s="9" t="s">
        <v>214</v>
      </c>
      <c r="R16" s="9" t="s">
        <v>618</v>
      </c>
      <c r="S16" s="9"/>
      <c r="T16" s="9" t="s">
        <v>620</v>
      </c>
      <c r="U16" s="9" t="s">
        <v>616</v>
      </c>
      <c r="V16" s="9" t="s">
        <v>616</v>
      </c>
      <c r="W16" s="9" t="s">
        <v>621</v>
      </c>
    </row>
    <row r="17" spans="1:23" ht="45" customHeight="1">
      <c r="A17" s="27" t="s">
        <v>608</v>
      </c>
      <c r="B17" s="9" t="s">
        <v>622</v>
      </c>
      <c r="C17" s="9" t="s">
        <v>610</v>
      </c>
      <c r="D17" s="9" t="s">
        <v>542</v>
      </c>
      <c r="E17" s="9" t="s">
        <v>623</v>
      </c>
      <c r="F17" s="9" t="s">
        <v>543</v>
      </c>
      <c r="G17" s="9" t="s">
        <v>624</v>
      </c>
      <c r="H17" s="9" t="s">
        <v>625</v>
      </c>
      <c r="I17" s="9" t="s">
        <v>626</v>
      </c>
      <c r="J17" s="9" t="s">
        <v>282</v>
      </c>
      <c r="K17" s="9" t="s">
        <v>627</v>
      </c>
      <c r="L17" s="9" t="s">
        <v>628</v>
      </c>
      <c r="M17" s="9" t="s">
        <v>629</v>
      </c>
      <c r="N17" s="9" t="s">
        <v>630</v>
      </c>
      <c r="O17" s="9" t="s">
        <v>631</v>
      </c>
      <c r="P17" s="9" t="s">
        <v>632</v>
      </c>
      <c r="Q17" s="9" t="s">
        <v>552</v>
      </c>
      <c r="R17" s="9" t="s">
        <v>551</v>
      </c>
      <c r="S17" s="9"/>
      <c r="T17" s="9"/>
      <c r="U17" s="9" t="s">
        <v>633</v>
      </c>
      <c r="V17" s="9" t="s">
        <v>634</v>
      </c>
      <c r="W17" s="9" t="s">
        <v>338</v>
      </c>
    </row>
    <row r="18" spans="1:23" ht="45" customHeight="1">
      <c r="A18" s="27" t="s">
        <v>608</v>
      </c>
      <c r="B18" s="9" t="s">
        <v>635</v>
      </c>
      <c r="C18" s="9" t="s">
        <v>610</v>
      </c>
      <c r="D18" s="9" t="s">
        <v>542</v>
      </c>
      <c r="E18" s="9" t="s">
        <v>636</v>
      </c>
      <c r="F18" s="9" t="s">
        <v>543</v>
      </c>
      <c r="G18" s="9" t="s">
        <v>637</v>
      </c>
      <c r="H18" s="9" t="s">
        <v>638</v>
      </c>
      <c r="I18" s="9" t="s">
        <v>639</v>
      </c>
      <c r="J18" s="9" t="s">
        <v>282</v>
      </c>
      <c r="K18" s="9" t="s">
        <v>627</v>
      </c>
      <c r="L18" s="9" t="s">
        <v>628</v>
      </c>
      <c r="M18" s="9" t="s">
        <v>640</v>
      </c>
      <c r="N18" s="9" t="s">
        <v>641</v>
      </c>
      <c r="O18" s="9" t="s">
        <v>642</v>
      </c>
      <c r="P18" s="9" t="s">
        <v>643</v>
      </c>
      <c r="Q18" s="9" t="s">
        <v>552</v>
      </c>
      <c r="R18" s="9" t="s">
        <v>551</v>
      </c>
      <c r="S18" s="9"/>
      <c r="T18" s="9" t="s">
        <v>644</v>
      </c>
      <c r="U18" s="9" t="s">
        <v>645</v>
      </c>
      <c r="V18" s="9" t="s">
        <v>646</v>
      </c>
      <c r="W18" s="9" t="s">
        <v>345</v>
      </c>
    </row>
    <row r="19" spans="1:23" ht="30" customHeight="1">
      <c r="A19" s="27" t="s">
        <v>608</v>
      </c>
      <c r="B19" s="9" t="s">
        <v>647</v>
      </c>
      <c r="C19" s="9" t="s">
        <v>610</v>
      </c>
      <c r="D19" s="9" t="s">
        <v>542</v>
      </c>
      <c r="E19" s="9" t="s">
        <v>648</v>
      </c>
      <c r="F19" s="9" t="s">
        <v>543</v>
      </c>
      <c r="G19" s="9" t="s">
        <v>649</v>
      </c>
      <c r="H19" s="9" t="s">
        <v>650</v>
      </c>
      <c r="I19" s="9" t="s">
        <v>651</v>
      </c>
      <c r="J19" s="9" t="s">
        <v>282</v>
      </c>
      <c r="K19" s="9" t="s">
        <v>652</v>
      </c>
      <c r="L19" s="9" t="s">
        <v>628</v>
      </c>
      <c r="M19" s="9" t="s">
        <v>649</v>
      </c>
      <c r="N19" s="9" t="s">
        <v>653</v>
      </c>
      <c r="O19" s="9" t="s">
        <v>654</v>
      </c>
      <c r="P19" s="9" t="s">
        <v>616</v>
      </c>
      <c r="Q19" s="9" t="s">
        <v>552</v>
      </c>
      <c r="R19" s="9" t="s">
        <v>551</v>
      </c>
      <c r="S19" s="9"/>
      <c r="T19" s="9"/>
      <c r="U19" s="9" t="s">
        <v>655</v>
      </c>
      <c r="V19" s="9" t="s">
        <v>656</v>
      </c>
      <c r="W19" s="9" t="s">
        <v>365</v>
      </c>
    </row>
    <row r="20" spans="1:23" ht="45" customHeight="1">
      <c r="A20" s="27" t="s">
        <v>608</v>
      </c>
      <c r="B20" s="9" t="s">
        <v>657</v>
      </c>
      <c r="C20" s="9" t="s">
        <v>610</v>
      </c>
      <c r="D20" s="9" t="s">
        <v>542</v>
      </c>
      <c r="E20" s="9" t="s">
        <v>658</v>
      </c>
      <c r="F20" s="9" t="s">
        <v>543</v>
      </c>
      <c r="G20" s="9" t="s">
        <v>659</v>
      </c>
      <c r="H20" s="9" t="s">
        <v>660</v>
      </c>
      <c r="I20" s="9" t="s">
        <v>661</v>
      </c>
      <c r="J20" s="9" t="s">
        <v>282</v>
      </c>
      <c r="K20" s="9" t="s">
        <v>652</v>
      </c>
      <c r="L20" s="9" t="s">
        <v>628</v>
      </c>
      <c r="M20" s="9" t="s">
        <v>659</v>
      </c>
      <c r="N20" s="9" t="s">
        <v>662</v>
      </c>
      <c r="O20" s="9" t="s">
        <v>663</v>
      </c>
      <c r="P20" s="9" t="s">
        <v>616</v>
      </c>
      <c r="Q20" s="9" t="s">
        <v>552</v>
      </c>
      <c r="R20" s="9" t="s">
        <v>551</v>
      </c>
      <c r="S20" s="9"/>
      <c r="T20" s="9"/>
      <c r="U20" s="9" t="s">
        <v>655</v>
      </c>
      <c r="V20" s="9" t="s">
        <v>664</v>
      </c>
      <c r="W20" s="9" t="s">
        <v>365</v>
      </c>
    </row>
    <row r="21" spans="1:23" ht="45" customHeight="1">
      <c r="A21" s="27" t="s">
        <v>608</v>
      </c>
      <c r="B21" s="9" t="s">
        <v>665</v>
      </c>
      <c r="C21" s="9" t="s">
        <v>610</v>
      </c>
      <c r="D21" s="9" t="s">
        <v>542</v>
      </c>
      <c r="E21" s="9" t="s">
        <v>666</v>
      </c>
      <c r="F21" s="9" t="s">
        <v>543</v>
      </c>
      <c r="G21" s="9" t="s">
        <v>667</v>
      </c>
      <c r="H21" s="9" t="s">
        <v>668</v>
      </c>
      <c r="I21" s="9" t="s">
        <v>669</v>
      </c>
      <c r="J21" s="9" t="s">
        <v>282</v>
      </c>
      <c r="K21" s="9" t="s">
        <v>652</v>
      </c>
      <c r="L21" s="9" t="s">
        <v>628</v>
      </c>
      <c r="M21" s="9" t="s">
        <v>667</v>
      </c>
      <c r="N21" s="9" t="s">
        <v>670</v>
      </c>
      <c r="O21" s="9" t="s">
        <v>671</v>
      </c>
      <c r="P21" s="9" t="s">
        <v>616</v>
      </c>
      <c r="Q21" s="9" t="s">
        <v>552</v>
      </c>
      <c r="R21" s="9" t="s">
        <v>551</v>
      </c>
      <c r="S21" s="9"/>
      <c r="T21" s="9" t="s">
        <v>672</v>
      </c>
      <c r="U21" s="9" t="s">
        <v>655</v>
      </c>
      <c r="V21" s="9" t="s">
        <v>673</v>
      </c>
      <c r="W21" s="9" t="s">
        <v>365</v>
      </c>
    </row>
    <row r="22" spans="1:23" ht="30" customHeight="1">
      <c r="A22" s="27" t="s">
        <v>608</v>
      </c>
      <c r="B22" s="9" t="s">
        <v>674</v>
      </c>
      <c r="C22" s="9" t="s">
        <v>610</v>
      </c>
      <c r="D22" s="9" t="s">
        <v>542</v>
      </c>
      <c r="E22" s="9" t="s">
        <v>675</v>
      </c>
      <c r="F22" s="9" t="s">
        <v>543</v>
      </c>
      <c r="G22" s="9" t="s">
        <v>676</v>
      </c>
      <c r="H22" s="9" t="s">
        <v>677</v>
      </c>
      <c r="I22" s="9" t="s">
        <v>678</v>
      </c>
      <c r="J22" s="9" t="s">
        <v>282</v>
      </c>
      <c r="K22" s="9" t="s">
        <v>652</v>
      </c>
      <c r="L22" s="9" t="s">
        <v>628</v>
      </c>
      <c r="M22" s="9" t="s">
        <v>679</v>
      </c>
      <c r="N22" s="9" t="s">
        <v>680</v>
      </c>
      <c r="O22" s="9" t="s">
        <v>681</v>
      </c>
      <c r="P22" s="9" t="s">
        <v>616</v>
      </c>
      <c r="Q22" s="9" t="s">
        <v>552</v>
      </c>
      <c r="R22" s="9" t="s">
        <v>551</v>
      </c>
      <c r="S22" s="9"/>
      <c r="T22" s="9" t="s">
        <v>682</v>
      </c>
      <c r="U22" s="9" t="s">
        <v>683</v>
      </c>
      <c r="V22" s="9" t="s">
        <v>684</v>
      </c>
      <c r="W22" s="9" t="s">
        <v>365</v>
      </c>
    </row>
    <row r="23" spans="1:23" ht="30" customHeight="1">
      <c r="A23" s="27" t="s">
        <v>608</v>
      </c>
      <c r="B23" s="9" t="s">
        <v>685</v>
      </c>
      <c r="C23" s="9" t="s">
        <v>610</v>
      </c>
      <c r="D23" s="9" t="s">
        <v>190</v>
      </c>
      <c r="E23" s="9" t="s">
        <v>686</v>
      </c>
      <c r="F23" s="9" t="s">
        <v>612</v>
      </c>
      <c r="G23" s="9" t="s">
        <v>687</v>
      </c>
      <c r="H23" s="9" t="s">
        <v>688</v>
      </c>
      <c r="I23" s="9" t="s">
        <v>689</v>
      </c>
      <c r="J23" s="9" t="s">
        <v>616</v>
      </c>
      <c r="K23" s="9" t="s">
        <v>243</v>
      </c>
      <c r="L23" s="9" t="s">
        <v>690</v>
      </c>
      <c r="M23" s="9" t="s">
        <v>31</v>
      </c>
      <c r="N23" s="9" t="s">
        <v>618</v>
      </c>
      <c r="O23" s="9" t="s">
        <v>619</v>
      </c>
      <c r="P23" s="9" t="s">
        <v>616</v>
      </c>
      <c r="Q23" s="9" t="s">
        <v>214</v>
      </c>
      <c r="R23" s="9" t="s">
        <v>618</v>
      </c>
      <c r="S23" s="9"/>
      <c r="T23" s="9" t="s">
        <v>691</v>
      </c>
      <c r="U23" s="9" t="s">
        <v>692</v>
      </c>
      <c r="V23" s="9" t="s">
        <v>693</v>
      </c>
      <c r="W23" s="9" t="s">
        <v>616</v>
      </c>
    </row>
    <row r="24" spans="1:23" ht="45" customHeight="1">
      <c r="A24" s="27" t="s">
        <v>694</v>
      </c>
      <c r="B24" s="9" t="s">
        <v>695</v>
      </c>
      <c r="C24" s="9" t="s">
        <v>610</v>
      </c>
      <c r="D24" s="9" t="s">
        <v>542</v>
      </c>
      <c r="E24" s="9" t="s">
        <v>295</v>
      </c>
      <c r="F24" s="9" t="s">
        <v>543</v>
      </c>
      <c r="G24" s="9" t="s">
        <v>696</v>
      </c>
      <c r="H24" s="9" t="s">
        <v>697</v>
      </c>
      <c r="I24" s="9" t="s">
        <v>698</v>
      </c>
      <c r="J24" s="9" t="s">
        <v>247</v>
      </c>
      <c r="K24" s="9" t="s">
        <v>296</v>
      </c>
      <c r="L24" s="9" t="s">
        <v>699</v>
      </c>
      <c r="M24" s="9" t="s">
        <v>700</v>
      </c>
      <c r="N24" s="9" t="s">
        <v>701</v>
      </c>
      <c r="O24" s="9" t="s">
        <v>702</v>
      </c>
      <c r="P24" s="9" t="s">
        <v>616</v>
      </c>
      <c r="Q24" s="9" t="s">
        <v>552</v>
      </c>
      <c r="R24" s="9" t="s">
        <v>551</v>
      </c>
      <c r="S24" s="9"/>
      <c r="T24" s="9" t="s">
        <v>703</v>
      </c>
      <c r="U24" s="9" t="s">
        <v>704</v>
      </c>
      <c r="V24" s="9" t="s">
        <v>616</v>
      </c>
      <c r="W24" s="9" t="s">
        <v>294</v>
      </c>
    </row>
    <row r="25" spans="1:23" ht="45" customHeight="1">
      <c r="A25" s="27" t="s">
        <v>694</v>
      </c>
      <c r="B25" s="9" t="s">
        <v>705</v>
      </c>
      <c r="C25" s="9" t="s">
        <v>610</v>
      </c>
      <c r="D25" s="9" t="s">
        <v>542</v>
      </c>
      <c r="E25" s="9" t="s">
        <v>303</v>
      </c>
      <c r="F25" s="9" t="s">
        <v>543</v>
      </c>
      <c r="G25" s="9" t="s">
        <v>706</v>
      </c>
      <c r="H25" s="9" t="s">
        <v>707</v>
      </c>
      <c r="I25" s="9" t="s">
        <v>708</v>
      </c>
      <c r="J25" s="9" t="s">
        <v>304</v>
      </c>
      <c r="K25" s="9" t="s">
        <v>299</v>
      </c>
      <c r="L25" s="9" t="s">
        <v>376</v>
      </c>
      <c r="M25" s="9" t="s">
        <v>709</v>
      </c>
      <c r="N25" s="9" t="s">
        <v>710</v>
      </c>
      <c r="O25" s="9" t="s">
        <v>616</v>
      </c>
      <c r="P25" s="9" t="s">
        <v>616</v>
      </c>
      <c r="Q25" s="9" t="s">
        <v>196</v>
      </c>
      <c r="R25" s="9" t="s">
        <v>551</v>
      </c>
      <c r="S25" s="9"/>
      <c r="T25" s="9" t="s">
        <v>711</v>
      </c>
      <c r="U25" s="9" t="s">
        <v>704</v>
      </c>
      <c r="V25" s="9" t="s">
        <v>616</v>
      </c>
      <c r="W25" s="9" t="s">
        <v>301</v>
      </c>
    </row>
    <row r="26" spans="1:23" ht="45" customHeight="1">
      <c r="A26" s="27" t="s">
        <v>694</v>
      </c>
      <c r="B26" s="9" t="s">
        <v>712</v>
      </c>
      <c r="C26" s="9" t="s">
        <v>610</v>
      </c>
      <c r="D26" s="9" t="s">
        <v>713</v>
      </c>
      <c r="E26" s="9" t="s">
        <v>714</v>
      </c>
      <c r="F26" s="9" t="s">
        <v>715</v>
      </c>
      <c r="G26" s="9" t="s">
        <v>716</v>
      </c>
      <c r="H26" s="9" t="s">
        <v>717</v>
      </c>
      <c r="I26" s="9" t="s">
        <v>718</v>
      </c>
      <c r="J26" s="9" t="s">
        <v>307</v>
      </c>
      <c r="K26" s="9" t="s">
        <v>719</v>
      </c>
      <c r="L26" s="9" t="s">
        <v>309</v>
      </c>
      <c r="M26" s="9" t="s">
        <v>720</v>
      </c>
      <c r="N26" s="9" t="s">
        <v>721</v>
      </c>
      <c r="O26" s="9" t="s">
        <v>722</v>
      </c>
      <c r="P26" s="9" t="s">
        <v>616</v>
      </c>
      <c r="Q26" s="9" t="s">
        <v>196</v>
      </c>
      <c r="R26" s="9" t="s">
        <v>551</v>
      </c>
      <c r="S26" s="9"/>
      <c r="T26" s="9"/>
      <c r="U26" s="9" t="s">
        <v>704</v>
      </c>
      <c r="V26" s="9" t="s">
        <v>616</v>
      </c>
      <c r="W26" s="9" t="s">
        <v>308</v>
      </c>
    </row>
    <row r="27" spans="1:23" ht="45" customHeight="1">
      <c r="A27" s="27" t="s">
        <v>694</v>
      </c>
      <c r="B27" s="9" t="s">
        <v>723</v>
      </c>
      <c r="C27" s="9" t="s">
        <v>610</v>
      </c>
      <c r="D27" s="9" t="s">
        <v>542</v>
      </c>
      <c r="E27" s="9" t="s">
        <v>724</v>
      </c>
      <c r="F27" s="9" t="s">
        <v>543</v>
      </c>
      <c r="G27" s="9" t="s">
        <v>725</v>
      </c>
      <c r="H27" s="9" t="s">
        <v>726</v>
      </c>
      <c r="I27" s="9" t="s">
        <v>727</v>
      </c>
      <c r="J27" s="9" t="s">
        <v>728</v>
      </c>
      <c r="K27" s="9" t="s">
        <v>729</v>
      </c>
      <c r="L27" s="9" t="s">
        <v>730</v>
      </c>
      <c r="M27" s="9" t="s">
        <v>731</v>
      </c>
      <c r="N27" s="9" t="s">
        <v>732</v>
      </c>
      <c r="O27" s="9" t="s">
        <v>733</v>
      </c>
      <c r="P27" s="9" t="s">
        <v>734</v>
      </c>
      <c r="Q27" s="9" t="s">
        <v>196</v>
      </c>
      <c r="R27" s="9" t="s">
        <v>551</v>
      </c>
      <c r="S27" s="9"/>
      <c r="T27" s="9" t="s">
        <v>735</v>
      </c>
      <c r="U27" s="9" t="s">
        <v>736</v>
      </c>
      <c r="V27" s="9" t="s">
        <v>737</v>
      </c>
      <c r="W27" s="9" t="s">
        <v>314</v>
      </c>
    </row>
    <row r="28" spans="1:23" ht="45" customHeight="1">
      <c r="A28" s="27" t="s">
        <v>694</v>
      </c>
      <c r="B28" s="9" t="s">
        <v>738</v>
      </c>
      <c r="C28" s="9" t="s">
        <v>610</v>
      </c>
      <c r="D28" s="9" t="s">
        <v>542</v>
      </c>
      <c r="E28" s="9" t="s">
        <v>739</v>
      </c>
      <c r="F28" s="9" t="s">
        <v>543</v>
      </c>
      <c r="G28" s="9" t="s">
        <v>740</v>
      </c>
      <c r="H28" s="9" t="s">
        <v>741</v>
      </c>
      <c r="I28" s="9" t="s">
        <v>742</v>
      </c>
      <c r="J28" s="9" t="s">
        <v>380</v>
      </c>
      <c r="K28" s="9" t="s">
        <v>743</v>
      </c>
      <c r="L28" s="9" t="s">
        <v>730</v>
      </c>
      <c r="M28" s="9" t="s">
        <v>744</v>
      </c>
      <c r="N28" s="9" t="s">
        <v>745</v>
      </c>
      <c r="O28" s="9" t="s">
        <v>746</v>
      </c>
      <c r="P28" s="9" t="s">
        <v>747</v>
      </c>
      <c r="Q28" s="9" t="s">
        <v>196</v>
      </c>
      <c r="R28" s="9" t="s">
        <v>551</v>
      </c>
      <c r="S28" s="9"/>
      <c r="T28" s="9" t="s">
        <v>748</v>
      </c>
      <c r="U28" s="9" t="s">
        <v>736</v>
      </c>
      <c r="V28" s="9" t="s">
        <v>616</v>
      </c>
      <c r="W28" s="9" t="s">
        <v>320</v>
      </c>
    </row>
    <row r="29" spans="1:23" ht="45" customHeight="1">
      <c r="A29" s="27" t="s">
        <v>694</v>
      </c>
      <c r="B29" s="9" t="s">
        <v>749</v>
      </c>
      <c r="C29" s="9" t="s">
        <v>610</v>
      </c>
      <c r="D29" s="9" t="s">
        <v>542</v>
      </c>
      <c r="E29" s="9" t="s">
        <v>750</v>
      </c>
      <c r="F29" s="9" t="s">
        <v>543</v>
      </c>
      <c r="G29" s="9" t="s">
        <v>751</v>
      </c>
      <c r="H29" s="9" t="s">
        <v>752</v>
      </c>
      <c r="I29" s="9" t="s">
        <v>753</v>
      </c>
      <c r="J29" s="9" t="s">
        <v>239</v>
      </c>
      <c r="K29" s="9" t="s">
        <v>754</v>
      </c>
      <c r="L29" s="9" t="s">
        <v>755</v>
      </c>
      <c r="M29" s="9" t="s">
        <v>756</v>
      </c>
      <c r="N29" s="9" t="s">
        <v>757</v>
      </c>
      <c r="O29" s="9" t="s">
        <v>758</v>
      </c>
      <c r="P29" s="9" t="s">
        <v>759</v>
      </c>
      <c r="Q29" s="9" t="s">
        <v>552</v>
      </c>
      <c r="R29" s="9" t="s">
        <v>551</v>
      </c>
      <c r="S29" s="9"/>
      <c r="T29" s="9" t="s">
        <v>760</v>
      </c>
      <c r="U29" s="9" t="s">
        <v>736</v>
      </c>
      <c r="V29" s="9" t="s">
        <v>616</v>
      </c>
      <c r="W29" s="9" t="s">
        <v>254</v>
      </c>
    </row>
    <row r="30" spans="1:23" ht="45" customHeight="1">
      <c r="A30" s="27" t="s">
        <v>694</v>
      </c>
      <c r="B30" s="9" t="s">
        <v>761</v>
      </c>
      <c r="C30" s="9" t="s">
        <v>610</v>
      </c>
      <c r="D30" s="9" t="s">
        <v>542</v>
      </c>
      <c r="E30" s="9" t="s">
        <v>762</v>
      </c>
      <c r="F30" s="9" t="s">
        <v>543</v>
      </c>
      <c r="G30" s="9" t="s">
        <v>763</v>
      </c>
      <c r="H30" s="9" t="s">
        <v>764</v>
      </c>
      <c r="I30" s="9" t="s">
        <v>765</v>
      </c>
      <c r="J30" s="9" t="s">
        <v>239</v>
      </c>
      <c r="K30" s="9" t="s">
        <v>243</v>
      </c>
      <c r="L30" s="9" t="s">
        <v>766</v>
      </c>
      <c r="M30" s="9" t="s">
        <v>767</v>
      </c>
      <c r="N30" s="9" t="s">
        <v>768</v>
      </c>
      <c r="O30" s="9" t="s">
        <v>769</v>
      </c>
      <c r="P30" s="9" t="s">
        <v>770</v>
      </c>
      <c r="Q30" s="9" t="s">
        <v>552</v>
      </c>
      <c r="R30" s="9" t="s">
        <v>551</v>
      </c>
      <c r="S30" s="9"/>
      <c r="T30" s="9"/>
      <c r="U30" s="9" t="s">
        <v>771</v>
      </c>
      <c r="V30" s="9" t="s">
        <v>737</v>
      </c>
      <c r="W30" s="9" t="s">
        <v>240</v>
      </c>
    </row>
    <row r="31" spans="1:23" ht="45" customHeight="1">
      <c r="A31" s="27" t="s">
        <v>694</v>
      </c>
      <c r="B31" s="9" t="s">
        <v>772</v>
      </c>
      <c r="C31" s="9" t="s">
        <v>610</v>
      </c>
      <c r="D31" s="9" t="s">
        <v>542</v>
      </c>
      <c r="E31" s="9" t="s">
        <v>773</v>
      </c>
      <c r="F31" s="9" t="s">
        <v>543</v>
      </c>
      <c r="G31" s="9" t="s">
        <v>774</v>
      </c>
      <c r="H31" s="9" t="s">
        <v>775</v>
      </c>
      <c r="I31" s="9" t="s">
        <v>776</v>
      </c>
      <c r="J31" s="9" t="s">
        <v>239</v>
      </c>
      <c r="K31" s="9" t="s">
        <v>243</v>
      </c>
      <c r="L31" s="9" t="s">
        <v>766</v>
      </c>
      <c r="M31" s="9" t="s">
        <v>777</v>
      </c>
      <c r="N31" s="9" t="s">
        <v>778</v>
      </c>
      <c r="O31" s="9" t="s">
        <v>779</v>
      </c>
      <c r="P31" s="9" t="s">
        <v>780</v>
      </c>
      <c r="Q31" s="9" t="s">
        <v>552</v>
      </c>
      <c r="R31" s="9" t="s">
        <v>551</v>
      </c>
      <c r="S31" s="9"/>
      <c r="T31" s="9"/>
      <c r="U31" s="9" t="s">
        <v>771</v>
      </c>
      <c r="V31" s="9" t="s">
        <v>693</v>
      </c>
      <c r="W31" s="9" t="s">
        <v>240</v>
      </c>
    </row>
    <row r="32" spans="1:23" ht="45" customHeight="1">
      <c r="A32" s="27" t="s">
        <v>694</v>
      </c>
      <c r="B32" s="9" t="s">
        <v>781</v>
      </c>
      <c r="C32" s="9" t="s">
        <v>610</v>
      </c>
      <c r="D32" s="9" t="s">
        <v>542</v>
      </c>
      <c r="E32" s="9" t="s">
        <v>782</v>
      </c>
      <c r="F32" s="9" t="s">
        <v>543</v>
      </c>
      <c r="G32" s="9" t="s">
        <v>783</v>
      </c>
      <c r="H32" s="9" t="s">
        <v>784</v>
      </c>
      <c r="I32" s="9" t="s">
        <v>785</v>
      </c>
      <c r="J32" s="9" t="s">
        <v>239</v>
      </c>
      <c r="K32" s="9" t="s">
        <v>754</v>
      </c>
      <c r="L32" s="9" t="s">
        <v>755</v>
      </c>
      <c r="M32" s="9" t="s">
        <v>786</v>
      </c>
      <c r="N32" s="9" t="s">
        <v>787</v>
      </c>
      <c r="O32" s="9" t="s">
        <v>788</v>
      </c>
      <c r="P32" s="9" t="s">
        <v>789</v>
      </c>
      <c r="Q32" s="9" t="s">
        <v>196</v>
      </c>
      <c r="R32" s="9" t="s">
        <v>551</v>
      </c>
      <c r="S32" s="9"/>
      <c r="T32" s="9" t="s">
        <v>790</v>
      </c>
      <c r="U32" s="9" t="s">
        <v>704</v>
      </c>
      <c r="V32" s="9" t="s">
        <v>616</v>
      </c>
      <c r="W32" s="9" t="s">
        <v>254</v>
      </c>
    </row>
    <row r="33" spans="1:23" ht="45" customHeight="1">
      <c r="A33" s="27" t="s">
        <v>694</v>
      </c>
      <c r="B33" s="9" t="s">
        <v>791</v>
      </c>
      <c r="C33" s="9" t="s">
        <v>610</v>
      </c>
      <c r="D33" s="9" t="s">
        <v>542</v>
      </c>
      <c r="E33" s="9" t="s">
        <v>792</v>
      </c>
      <c r="F33" s="9" t="s">
        <v>543</v>
      </c>
      <c r="G33" s="9" t="s">
        <v>793</v>
      </c>
      <c r="H33" s="9" t="s">
        <v>794</v>
      </c>
      <c r="I33" s="9" t="s">
        <v>795</v>
      </c>
      <c r="J33" s="9" t="s">
        <v>239</v>
      </c>
      <c r="K33" s="9" t="s">
        <v>328</v>
      </c>
      <c r="L33" s="9" t="s">
        <v>796</v>
      </c>
      <c r="M33" s="9" t="s">
        <v>617</v>
      </c>
      <c r="N33" s="9" t="s">
        <v>797</v>
      </c>
      <c r="O33" s="9" t="s">
        <v>798</v>
      </c>
      <c r="P33" s="9" t="s">
        <v>780</v>
      </c>
      <c r="Q33" s="9" t="s">
        <v>552</v>
      </c>
      <c r="R33" s="9" t="s">
        <v>551</v>
      </c>
      <c r="S33" s="9"/>
      <c r="T33" s="9" t="s">
        <v>799</v>
      </c>
      <c r="U33" s="9" t="s">
        <v>704</v>
      </c>
      <c r="V33" s="9" t="s">
        <v>616</v>
      </c>
      <c r="W33" s="9" t="s">
        <v>325</v>
      </c>
    </row>
    <row r="34" spans="1:23" ht="30" customHeight="1">
      <c r="A34" s="27" t="s">
        <v>694</v>
      </c>
      <c r="B34" s="9" t="s">
        <v>800</v>
      </c>
      <c r="C34" s="9" t="s">
        <v>610</v>
      </c>
      <c r="D34" s="9" t="s">
        <v>542</v>
      </c>
      <c r="E34" s="9" t="s">
        <v>801</v>
      </c>
      <c r="F34" s="9" t="s">
        <v>543</v>
      </c>
      <c r="G34" s="9" t="s">
        <v>802</v>
      </c>
      <c r="H34" s="9" t="s">
        <v>803</v>
      </c>
      <c r="I34" s="9" t="s">
        <v>804</v>
      </c>
      <c r="J34" s="9" t="s">
        <v>307</v>
      </c>
      <c r="K34" s="9" t="s">
        <v>719</v>
      </c>
      <c r="L34" s="9" t="s">
        <v>309</v>
      </c>
      <c r="M34" s="9" t="s">
        <v>805</v>
      </c>
      <c r="N34" s="9" t="s">
        <v>806</v>
      </c>
      <c r="O34" s="9" t="s">
        <v>807</v>
      </c>
      <c r="P34" s="9" t="s">
        <v>616</v>
      </c>
      <c r="Q34" s="9" t="s">
        <v>196</v>
      </c>
      <c r="R34" s="9" t="s">
        <v>551</v>
      </c>
      <c r="S34" s="9"/>
      <c r="T34" s="9"/>
      <c r="U34" s="9" t="s">
        <v>704</v>
      </c>
      <c r="V34" s="9" t="s">
        <v>616</v>
      </c>
      <c r="W34" s="9" t="s">
        <v>308</v>
      </c>
    </row>
    <row r="35" spans="1:23" ht="60" customHeight="1">
      <c r="A35" s="27" t="s">
        <v>694</v>
      </c>
      <c r="B35" s="9" t="s">
        <v>808</v>
      </c>
      <c r="C35" s="9" t="s">
        <v>610</v>
      </c>
      <c r="D35" s="9" t="s">
        <v>542</v>
      </c>
      <c r="E35" s="9" t="s">
        <v>333</v>
      </c>
      <c r="F35" s="9" t="s">
        <v>543</v>
      </c>
      <c r="G35" s="9" t="s">
        <v>809</v>
      </c>
      <c r="H35" s="9" t="s">
        <v>810</v>
      </c>
      <c r="I35" s="9" t="s">
        <v>811</v>
      </c>
      <c r="J35" s="9" t="s">
        <v>239</v>
      </c>
      <c r="K35" s="9" t="s">
        <v>334</v>
      </c>
      <c r="L35" s="9" t="s">
        <v>812</v>
      </c>
      <c r="M35" s="9" t="s">
        <v>813</v>
      </c>
      <c r="N35" s="9" t="s">
        <v>814</v>
      </c>
      <c r="O35" s="9" t="s">
        <v>616</v>
      </c>
      <c r="P35" s="9" t="s">
        <v>815</v>
      </c>
      <c r="Q35" s="9" t="s">
        <v>196</v>
      </c>
      <c r="R35" s="9" t="s">
        <v>551</v>
      </c>
      <c r="S35" s="9"/>
      <c r="T35" s="9" t="s">
        <v>816</v>
      </c>
      <c r="U35" s="9" t="s">
        <v>704</v>
      </c>
      <c r="V35" s="9" t="s">
        <v>737</v>
      </c>
      <c r="W35" s="9" t="s">
        <v>331</v>
      </c>
    </row>
    <row r="36" spans="1:23" ht="45" customHeight="1">
      <c r="A36" s="27" t="s">
        <v>694</v>
      </c>
      <c r="B36" s="9" t="s">
        <v>817</v>
      </c>
      <c r="C36" s="9" t="s">
        <v>610</v>
      </c>
      <c r="D36" s="9" t="s">
        <v>542</v>
      </c>
      <c r="E36" s="9" t="s">
        <v>818</v>
      </c>
      <c r="F36" s="9" t="s">
        <v>543</v>
      </c>
      <c r="G36" s="9" t="s">
        <v>819</v>
      </c>
      <c r="H36" s="9" t="s">
        <v>820</v>
      </c>
      <c r="I36" s="9" t="s">
        <v>821</v>
      </c>
      <c r="J36" s="9" t="s">
        <v>728</v>
      </c>
      <c r="K36" s="9" t="s">
        <v>822</v>
      </c>
      <c r="L36" s="9" t="s">
        <v>823</v>
      </c>
      <c r="M36" s="9" t="s">
        <v>824</v>
      </c>
      <c r="N36" s="9" t="s">
        <v>825</v>
      </c>
      <c r="O36" s="9" t="s">
        <v>826</v>
      </c>
      <c r="P36" s="9" t="s">
        <v>827</v>
      </c>
      <c r="Q36" s="9" t="s">
        <v>552</v>
      </c>
      <c r="R36" s="9" t="s">
        <v>551</v>
      </c>
      <c r="S36" s="9"/>
      <c r="T36" s="9" t="s">
        <v>828</v>
      </c>
      <c r="U36" s="9" t="s">
        <v>829</v>
      </c>
      <c r="V36" s="9" t="s">
        <v>830</v>
      </c>
      <c r="W36" s="9" t="s">
        <v>268</v>
      </c>
    </row>
    <row r="37" spans="1:23" ht="45" customHeight="1">
      <c r="A37" s="27" t="s">
        <v>694</v>
      </c>
      <c r="B37" s="9" t="s">
        <v>831</v>
      </c>
      <c r="C37" s="9" t="s">
        <v>610</v>
      </c>
      <c r="D37" s="9" t="s">
        <v>542</v>
      </c>
      <c r="E37" s="9" t="s">
        <v>832</v>
      </c>
      <c r="F37" s="9" t="s">
        <v>543</v>
      </c>
      <c r="G37" s="9" t="s">
        <v>833</v>
      </c>
      <c r="H37" s="9" t="s">
        <v>834</v>
      </c>
      <c r="I37" s="9" t="s">
        <v>835</v>
      </c>
      <c r="J37" s="9" t="s">
        <v>728</v>
      </c>
      <c r="K37" s="9" t="s">
        <v>822</v>
      </c>
      <c r="L37" s="9" t="s">
        <v>836</v>
      </c>
      <c r="M37" s="9" t="s">
        <v>837</v>
      </c>
      <c r="N37" s="9" t="s">
        <v>838</v>
      </c>
      <c r="O37" s="9" t="s">
        <v>631</v>
      </c>
      <c r="P37" s="9" t="s">
        <v>839</v>
      </c>
      <c r="Q37" s="9" t="s">
        <v>196</v>
      </c>
      <c r="R37" s="9" t="s">
        <v>551</v>
      </c>
      <c r="S37" s="9"/>
      <c r="T37" s="9"/>
      <c r="U37" s="9" t="s">
        <v>829</v>
      </c>
      <c r="V37" s="9" t="s">
        <v>830</v>
      </c>
      <c r="W37" s="9" t="s">
        <v>268</v>
      </c>
    </row>
    <row r="38" spans="1:23" ht="30" customHeight="1">
      <c r="A38" s="27" t="s">
        <v>694</v>
      </c>
      <c r="B38" s="9" t="s">
        <v>840</v>
      </c>
      <c r="C38" s="9" t="s">
        <v>610</v>
      </c>
      <c r="D38" s="9" t="s">
        <v>542</v>
      </c>
      <c r="E38" s="9" t="s">
        <v>841</v>
      </c>
      <c r="F38" s="9" t="s">
        <v>543</v>
      </c>
      <c r="G38" s="9" t="s">
        <v>842</v>
      </c>
      <c r="H38" s="9" t="s">
        <v>843</v>
      </c>
      <c r="I38" s="9" t="s">
        <v>844</v>
      </c>
      <c r="J38" s="9" t="s">
        <v>239</v>
      </c>
      <c r="K38" s="9" t="s">
        <v>265</v>
      </c>
      <c r="L38" s="9" t="s">
        <v>845</v>
      </c>
      <c r="M38" s="9" t="s">
        <v>846</v>
      </c>
      <c r="N38" s="9" t="s">
        <v>847</v>
      </c>
      <c r="O38" s="9" t="s">
        <v>616</v>
      </c>
      <c r="P38" s="9" t="s">
        <v>848</v>
      </c>
      <c r="Q38" s="9" t="s">
        <v>196</v>
      </c>
      <c r="R38" s="9" t="s">
        <v>551</v>
      </c>
      <c r="S38" s="9"/>
      <c r="T38" s="9"/>
      <c r="U38" s="9" t="s">
        <v>616</v>
      </c>
      <c r="V38" s="9" t="s">
        <v>616</v>
      </c>
      <c r="W38" s="9" t="s">
        <v>262</v>
      </c>
    </row>
    <row r="39" spans="1:23" ht="30" customHeight="1">
      <c r="A39" s="27" t="s">
        <v>694</v>
      </c>
      <c r="B39" s="9" t="s">
        <v>849</v>
      </c>
      <c r="C39" s="9" t="s">
        <v>610</v>
      </c>
      <c r="D39" s="9" t="s">
        <v>542</v>
      </c>
      <c r="E39" s="9" t="s">
        <v>277</v>
      </c>
      <c r="F39" s="9" t="s">
        <v>543</v>
      </c>
      <c r="G39" s="9" t="s">
        <v>850</v>
      </c>
      <c r="H39" s="9" t="s">
        <v>851</v>
      </c>
      <c r="I39" s="9" t="s">
        <v>852</v>
      </c>
      <c r="J39" s="9" t="s">
        <v>853</v>
      </c>
      <c r="K39" s="9" t="s">
        <v>278</v>
      </c>
      <c r="L39" s="9" t="s">
        <v>346</v>
      </c>
      <c r="M39" s="9" t="s">
        <v>854</v>
      </c>
      <c r="N39" s="9" t="s">
        <v>855</v>
      </c>
      <c r="O39" s="9" t="s">
        <v>746</v>
      </c>
      <c r="P39" s="9" t="s">
        <v>856</v>
      </c>
      <c r="Q39" s="9" t="s">
        <v>552</v>
      </c>
      <c r="R39" s="9" t="s">
        <v>551</v>
      </c>
      <c r="S39" s="9"/>
      <c r="T39" s="9"/>
      <c r="U39" s="9" t="s">
        <v>829</v>
      </c>
      <c r="V39" s="9" t="s">
        <v>830</v>
      </c>
      <c r="W39" s="9" t="s">
        <v>275</v>
      </c>
    </row>
    <row r="40" spans="1:23" ht="45" customHeight="1">
      <c r="A40" s="27" t="s">
        <v>694</v>
      </c>
      <c r="B40" s="9" t="s">
        <v>857</v>
      </c>
      <c r="C40" s="9" t="s">
        <v>610</v>
      </c>
      <c r="D40" s="9" t="s">
        <v>542</v>
      </c>
      <c r="E40" s="9" t="s">
        <v>285</v>
      </c>
      <c r="F40" s="9" t="s">
        <v>543</v>
      </c>
      <c r="G40" s="9" t="s">
        <v>858</v>
      </c>
      <c r="H40" s="9" t="s">
        <v>859</v>
      </c>
      <c r="I40" s="9" t="s">
        <v>860</v>
      </c>
      <c r="J40" s="9" t="s">
        <v>861</v>
      </c>
      <c r="K40" s="9" t="s">
        <v>286</v>
      </c>
      <c r="L40" s="9" t="s">
        <v>755</v>
      </c>
      <c r="M40" s="9" t="s">
        <v>862</v>
      </c>
      <c r="N40" s="9" t="s">
        <v>863</v>
      </c>
      <c r="O40" s="9" t="s">
        <v>864</v>
      </c>
      <c r="P40" s="9" t="s">
        <v>865</v>
      </c>
      <c r="Q40" s="9" t="s">
        <v>196</v>
      </c>
      <c r="R40" s="9" t="s">
        <v>551</v>
      </c>
      <c r="S40" s="9"/>
      <c r="T40" s="9" t="s">
        <v>866</v>
      </c>
      <c r="U40" s="9" t="s">
        <v>616</v>
      </c>
      <c r="V40" s="9" t="s">
        <v>616</v>
      </c>
      <c r="W40" s="9" t="s">
        <v>283</v>
      </c>
    </row>
    <row r="41" spans="1:23" ht="45" customHeight="1">
      <c r="A41" s="27" t="s">
        <v>694</v>
      </c>
      <c r="B41" s="9" t="s">
        <v>867</v>
      </c>
      <c r="C41" s="9" t="s">
        <v>610</v>
      </c>
      <c r="D41" s="9" t="s">
        <v>542</v>
      </c>
      <c r="E41" s="9" t="s">
        <v>291</v>
      </c>
      <c r="F41" s="9" t="s">
        <v>543</v>
      </c>
      <c r="G41" s="9" t="s">
        <v>868</v>
      </c>
      <c r="H41" s="9" t="s">
        <v>869</v>
      </c>
      <c r="I41" s="9" t="s">
        <v>870</v>
      </c>
      <c r="J41" s="9" t="s">
        <v>239</v>
      </c>
      <c r="K41" s="9" t="s">
        <v>871</v>
      </c>
      <c r="L41" s="9" t="s">
        <v>872</v>
      </c>
      <c r="M41" s="9" t="s">
        <v>846</v>
      </c>
      <c r="N41" s="9" t="s">
        <v>873</v>
      </c>
      <c r="O41" s="9" t="s">
        <v>616</v>
      </c>
      <c r="P41" s="9" t="s">
        <v>874</v>
      </c>
      <c r="Q41" s="9" t="s">
        <v>552</v>
      </c>
      <c r="R41" s="9" t="s">
        <v>551</v>
      </c>
      <c r="S41" s="9"/>
      <c r="T41" s="9" t="s">
        <v>875</v>
      </c>
      <c r="U41" s="9" t="s">
        <v>616</v>
      </c>
      <c r="V41" s="9" t="s">
        <v>616</v>
      </c>
      <c r="W41" s="9" t="s">
        <v>289</v>
      </c>
    </row>
    <row r="42" spans="1:23" ht="45" customHeight="1">
      <c r="A42" s="27" t="s">
        <v>694</v>
      </c>
      <c r="B42" s="9" t="s">
        <v>876</v>
      </c>
      <c r="C42" s="9" t="s">
        <v>610</v>
      </c>
      <c r="D42" s="9" t="s">
        <v>542</v>
      </c>
      <c r="E42" s="9" t="s">
        <v>877</v>
      </c>
      <c r="F42" s="9" t="s">
        <v>543</v>
      </c>
      <c r="G42" s="9" t="s">
        <v>878</v>
      </c>
      <c r="H42" s="9" t="s">
        <v>879</v>
      </c>
      <c r="I42" s="9" t="s">
        <v>880</v>
      </c>
      <c r="J42" s="9" t="s">
        <v>881</v>
      </c>
      <c r="K42" s="9" t="s">
        <v>243</v>
      </c>
      <c r="L42" s="9" t="s">
        <v>882</v>
      </c>
      <c r="M42" s="9" t="s">
        <v>29</v>
      </c>
      <c r="N42" s="9" t="s">
        <v>855</v>
      </c>
      <c r="O42" s="9" t="s">
        <v>758</v>
      </c>
      <c r="P42" s="9" t="s">
        <v>883</v>
      </c>
      <c r="Q42" s="9" t="s">
        <v>552</v>
      </c>
      <c r="R42" s="9" t="s">
        <v>551</v>
      </c>
      <c r="S42" s="9"/>
      <c r="T42" s="9" t="s">
        <v>884</v>
      </c>
      <c r="U42" s="9" t="s">
        <v>885</v>
      </c>
      <c r="V42" s="9" t="s">
        <v>646</v>
      </c>
      <c r="W42" s="9" t="s">
        <v>231</v>
      </c>
    </row>
    <row r="43" spans="1:23" ht="45" customHeight="1">
      <c r="A43" s="27" t="s">
        <v>694</v>
      </c>
      <c r="B43" s="9" t="s">
        <v>886</v>
      </c>
      <c r="C43" s="9" t="s">
        <v>610</v>
      </c>
      <c r="D43" s="9" t="s">
        <v>542</v>
      </c>
      <c r="E43" s="9" t="s">
        <v>887</v>
      </c>
      <c r="F43" s="9" t="s">
        <v>543</v>
      </c>
      <c r="G43" s="9" t="s">
        <v>878</v>
      </c>
      <c r="H43" s="9" t="s">
        <v>888</v>
      </c>
      <c r="I43" s="9" t="s">
        <v>889</v>
      </c>
      <c r="J43" s="9" t="s">
        <v>881</v>
      </c>
      <c r="K43" s="9" t="s">
        <v>243</v>
      </c>
      <c r="L43" s="9" t="s">
        <v>309</v>
      </c>
      <c r="M43" s="9" t="s">
        <v>29</v>
      </c>
      <c r="N43" s="9" t="s">
        <v>890</v>
      </c>
      <c r="O43" s="9" t="s">
        <v>891</v>
      </c>
      <c r="P43" s="9" t="s">
        <v>892</v>
      </c>
      <c r="Q43" s="9" t="s">
        <v>552</v>
      </c>
      <c r="R43" s="9" t="s">
        <v>551</v>
      </c>
      <c r="S43" s="9"/>
      <c r="T43" s="9" t="s">
        <v>893</v>
      </c>
      <c r="U43" s="9" t="s">
        <v>894</v>
      </c>
      <c r="V43" s="9" t="s">
        <v>895</v>
      </c>
      <c r="W43" s="9" t="s">
        <v>231</v>
      </c>
    </row>
    <row r="44" spans="1:23" ht="45" customHeight="1">
      <c r="A44" s="27" t="s">
        <v>694</v>
      </c>
      <c r="B44" s="9" t="s">
        <v>896</v>
      </c>
      <c r="C44" s="9" t="s">
        <v>610</v>
      </c>
      <c r="D44" s="9" t="s">
        <v>542</v>
      </c>
      <c r="E44" s="9" t="s">
        <v>897</v>
      </c>
      <c r="F44" s="9" t="s">
        <v>543</v>
      </c>
      <c r="G44" s="9" t="s">
        <v>878</v>
      </c>
      <c r="H44" s="9" t="s">
        <v>898</v>
      </c>
      <c r="I44" s="9" t="s">
        <v>899</v>
      </c>
      <c r="J44" s="9" t="s">
        <v>239</v>
      </c>
      <c r="K44" s="9" t="s">
        <v>243</v>
      </c>
      <c r="L44" s="9" t="s">
        <v>766</v>
      </c>
      <c r="M44" s="9" t="s">
        <v>29</v>
      </c>
      <c r="N44" s="9" t="s">
        <v>900</v>
      </c>
      <c r="O44" s="9" t="s">
        <v>758</v>
      </c>
      <c r="P44" s="9" t="s">
        <v>901</v>
      </c>
      <c r="Q44" s="9" t="s">
        <v>552</v>
      </c>
      <c r="R44" s="9" t="s">
        <v>551</v>
      </c>
      <c r="S44" s="9"/>
      <c r="T44" s="9" t="s">
        <v>902</v>
      </c>
      <c r="U44" s="9" t="s">
        <v>771</v>
      </c>
      <c r="V44" s="9" t="s">
        <v>903</v>
      </c>
      <c r="W44" s="9" t="s">
        <v>240</v>
      </c>
    </row>
    <row r="45" spans="1:23" ht="45" customHeight="1">
      <c r="A45" s="27" t="s">
        <v>694</v>
      </c>
      <c r="B45" s="9" t="s">
        <v>904</v>
      </c>
      <c r="C45" s="9" t="s">
        <v>610</v>
      </c>
      <c r="D45" s="9" t="s">
        <v>542</v>
      </c>
      <c r="E45" s="9" t="s">
        <v>905</v>
      </c>
      <c r="F45" s="9" t="s">
        <v>543</v>
      </c>
      <c r="G45" s="9" t="s">
        <v>878</v>
      </c>
      <c r="H45" s="9" t="s">
        <v>906</v>
      </c>
      <c r="I45" s="9" t="s">
        <v>907</v>
      </c>
      <c r="J45" s="9" t="s">
        <v>728</v>
      </c>
      <c r="K45" s="9" t="s">
        <v>243</v>
      </c>
      <c r="L45" s="9" t="s">
        <v>823</v>
      </c>
      <c r="M45" s="9" t="s">
        <v>29</v>
      </c>
      <c r="N45" s="9" t="s">
        <v>908</v>
      </c>
      <c r="O45" s="9" t="s">
        <v>758</v>
      </c>
      <c r="P45" s="9" t="s">
        <v>909</v>
      </c>
      <c r="Q45" s="9" t="s">
        <v>552</v>
      </c>
      <c r="R45" s="9" t="s">
        <v>551</v>
      </c>
      <c r="S45" s="9"/>
      <c r="T45" s="9" t="s">
        <v>910</v>
      </c>
      <c r="U45" s="9" t="s">
        <v>771</v>
      </c>
      <c r="V45" s="9" t="s">
        <v>903</v>
      </c>
      <c r="W45" s="9" t="s">
        <v>248</v>
      </c>
    </row>
    <row r="46" spans="1:23" ht="45" customHeight="1">
      <c r="A46" s="27" t="s">
        <v>694</v>
      </c>
      <c r="B46" s="9" t="s">
        <v>911</v>
      </c>
      <c r="C46" s="9" t="s">
        <v>610</v>
      </c>
      <c r="D46" s="9" t="s">
        <v>542</v>
      </c>
      <c r="E46" s="9" t="s">
        <v>912</v>
      </c>
      <c r="F46" s="9" t="s">
        <v>543</v>
      </c>
      <c r="G46" s="9" t="s">
        <v>878</v>
      </c>
      <c r="H46" s="9" t="s">
        <v>913</v>
      </c>
      <c r="I46" s="9" t="s">
        <v>914</v>
      </c>
      <c r="J46" s="9" t="s">
        <v>728</v>
      </c>
      <c r="K46" s="9" t="s">
        <v>243</v>
      </c>
      <c r="L46" s="9" t="s">
        <v>309</v>
      </c>
      <c r="M46" s="9" t="s">
        <v>915</v>
      </c>
      <c r="N46" s="9" t="s">
        <v>916</v>
      </c>
      <c r="O46" s="9" t="s">
        <v>917</v>
      </c>
      <c r="P46" s="9" t="s">
        <v>892</v>
      </c>
      <c r="Q46" s="9" t="s">
        <v>552</v>
      </c>
      <c r="R46" s="9" t="s">
        <v>551</v>
      </c>
      <c r="S46" s="9"/>
      <c r="T46" s="9" t="s">
        <v>918</v>
      </c>
      <c r="U46" s="9" t="s">
        <v>894</v>
      </c>
      <c r="V46" s="9" t="s">
        <v>919</v>
      </c>
      <c r="W46" s="9" t="s">
        <v>231</v>
      </c>
    </row>
    <row r="47" spans="1:23" ht="45" customHeight="1">
      <c r="A47" s="27" t="s">
        <v>694</v>
      </c>
      <c r="B47" s="9" t="s">
        <v>920</v>
      </c>
      <c r="C47" s="9" t="s">
        <v>610</v>
      </c>
      <c r="D47" s="9" t="s">
        <v>542</v>
      </c>
      <c r="E47" s="9" t="s">
        <v>921</v>
      </c>
      <c r="F47" s="9" t="s">
        <v>543</v>
      </c>
      <c r="G47" s="9" t="s">
        <v>878</v>
      </c>
      <c r="H47" s="9" t="s">
        <v>922</v>
      </c>
      <c r="I47" s="9" t="s">
        <v>923</v>
      </c>
      <c r="J47" s="9" t="s">
        <v>239</v>
      </c>
      <c r="K47" s="9" t="s">
        <v>924</v>
      </c>
      <c r="L47" s="9" t="s">
        <v>755</v>
      </c>
      <c r="M47" s="9" t="s">
        <v>756</v>
      </c>
      <c r="N47" s="9" t="s">
        <v>925</v>
      </c>
      <c r="O47" s="9" t="s">
        <v>926</v>
      </c>
      <c r="P47" s="9" t="s">
        <v>927</v>
      </c>
      <c r="Q47" s="9" t="s">
        <v>552</v>
      </c>
      <c r="R47" s="9" t="s">
        <v>551</v>
      </c>
      <c r="S47" s="9"/>
      <c r="T47" s="9" t="s">
        <v>928</v>
      </c>
      <c r="U47" s="9" t="s">
        <v>771</v>
      </c>
      <c r="V47" s="9" t="s">
        <v>903</v>
      </c>
      <c r="W47" s="9" t="s">
        <v>254</v>
      </c>
    </row>
    <row r="48" spans="1:23" ht="45" customHeight="1">
      <c r="A48" s="27" t="s">
        <v>694</v>
      </c>
      <c r="B48" s="9" t="s">
        <v>929</v>
      </c>
      <c r="C48" s="9" t="s">
        <v>610</v>
      </c>
      <c r="D48" s="9" t="s">
        <v>713</v>
      </c>
      <c r="E48" s="9" t="s">
        <v>930</v>
      </c>
      <c r="F48" s="9" t="s">
        <v>715</v>
      </c>
      <c r="G48" s="9" t="s">
        <v>931</v>
      </c>
      <c r="H48" s="9" t="s">
        <v>932</v>
      </c>
      <c r="I48" s="9" t="s">
        <v>933</v>
      </c>
      <c r="J48" s="9" t="s">
        <v>247</v>
      </c>
      <c r="K48" s="9" t="s">
        <v>934</v>
      </c>
      <c r="L48" s="9" t="s">
        <v>935</v>
      </c>
      <c r="M48" s="9" t="s">
        <v>936</v>
      </c>
      <c r="N48" s="9" t="s">
        <v>917</v>
      </c>
      <c r="O48" s="9" t="s">
        <v>788</v>
      </c>
      <c r="P48" s="9" t="s">
        <v>937</v>
      </c>
      <c r="Q48" s="9" t="s">
        <v>196</v>
      </c>
      <c r="R48" s="9" t="s">
        <v>551</v>
      </c>
      <c r="S48" s="9"/>
      <c r="T48" s="9" t="s">
        <v>938</v>
      </c>
      <c r="U48" s="9" t="s">
        <v>692</v>
      </c>
      <c r="V48" s="9" t="s">
        <v>939</v>
      </c>
      <c r="W48" s="9" t="s">
        <v>231</v>
      </c>
    </row>
    <row r="49" spans="1:23" ht="45" customHeight="1">
      <c r="A49" s="27" t="s">
        <v>694</v>
      </c>
      <c r="B49" s="9" t="s">
        <v>940</v>
      </c>
      <c r="C49" s="9" t="s">
        <v>610</v>
      </c>
      <c r="D49" s="9" t="s">
        <v>542</v>
      </c>
      <c r="E49" s="9" t="s">
        <v>941</v>
      </c>
      <c r="F49" s="9" t="s">
        <v>543</v>
      </c>
      <c r="G49" s="9" t="s">
        <v>942</v>
      </c>
      <c r="H49" s="9" t="s">
        <v>943</v>
      </c>
      <c r="I49" s="9" t="s">
        <v>944</v>
      </c>
      <c r="J49" s="9" t="s">
        <v>239</v>
      </c>
      <c r="K49" s="9" t="s">
        <v>328</v>
      </c>
      <c r="L49" s="9" t="s">
        <v>796</v>
      </c>
      <c r="M49" s="9" t="s">
        <v>617</v>
      </c>
      <c r="N49" s="9" t="s">
        <v>945</v>
      </c>
      <c r="O49" s="9" t="s">
        <v>946</v>
      </c>
      <c r="P49" s="9" t="s">
        <v>780</v>
      </c>
      <c r="Q49" s="9" t="s">
        <v>552</v>
      </c>
      <c r="R49" s="9" t="s">
        <v>551</v>
      </c>
      <c r="S49" s="9"/>
      <c r="T49" s="9" t="s">
        <v>947</v>
      </c>
      <c r="U49" s="9" t="s">
        <v>771</v>
      </c>
      <c r="V49" s="9" t="s">
        <v>903</v>
      </c>
      <c r="W49" s="9" t="s">
        <v>325</v>
      </c>
    </row>
    <row r="50" spans="1:23" ht="30" customHeight="1">
      <c r="A50" s="27" t="s">
        <v>694</v>
      </c>
      <c r="B50" s="9" t="s">
        <v>948</v>
      </c>
      <c r="C50" s="9" t="s">
        <v>610</v>
      </c>
      <c r="D50" s="9" t="s">
        <v>949</v>
      </c>
      <c r="E50" s="9" t="s">
        <v>393</v>
      </c>
      <c r="F50" s="9" t="s">
        <v>950</v>
      </c>
      <c r="G50" s="9" t="s">
        <v>951</v>
      </c>
      <c r="H50" s="9" t="s">
        <v>952</v>
      </c>
      <c r="I50" s="9" t="s">
        <v>953</v>
      </c>
      <c r="J50" s="9" t="s">
        <v>239</v>
      </c>
      <c r="K50" s="9" t="s">
        <v>954</v>
      </c>
      <c r="L50" s="9" t="s">
        <v>955</v>
      </c>
      <c r="M50" s="9" t="s">
        <v>617</v>
      </c>
      <c r="N50" s="9" t="s">
        <v>956</v>
      </c>
      <c r="O50" s="9" t="s">
        <v>957</v>
      </c>
      <c r="P50" s="9" t="s">
        <v>780</v>
      </c>
      <c r="Q50" s="9" t="s">
        <v>552</v>
      </c>
      <c r="R50" s="9" t="s">
        <v>551</v>
      </c>
      <c r="S50" s="9"/>
      <c r="T50" s="9" t="s">
        <v>958</v>
      </c>
      <c r="U50" s="9" t="s">
        <v>894</v>
      </c>
      <c r="V50" s="9" t="s">
        <v>959</v>
      </c>
      <c r="W50" s="9" t="s">
        <v>392</v>
      </c>
    </row>
    <row r="51" spans="1:23" ht="45" customHeight="1">
      <c r="A51" s="27" t="s">
        <v>694</v>
      </c>
      <c r="B51" s="9" t="s">
        <v>960</v>
      </c>
      <c r="C51" s="9" t="s">
        <v>610</v>
      </c>
      <c r="D51" s="9" t="s">
        <v>713</v>
      </c>
      <c r="E51" s="9" t="s">
        <v>961</v>
      </c>
      <c r="F51" s="9" t="s">
        <v>715</v>
      </c>
      <c r="G51" s="9" t="s">
        <v>962</v>
      </c>
      <c r="H51" s="9" t="s">
        <v>963</v>
      </c>
      <c r="I51" s="9" t="s">
        <v>964</v>
      </c>
      <c r="J51" s="9" t="s">
        <v>247</v>
      </c>
      <c r="K51" s="9" t="s">
        <v>965</v>
      </c>
      <c r="L51" s="9" t="s">
        <v>232</v>
      </c>
      <c r="M51" s="9" t="s">
        <v>966</v>
      </c>
      <c r="N51" s="9" t="s">
        <v>967</v>
      </c>
      <c r="O51" s="9" t="s">
        <v>788</v>
      </c>
      <c r="P51" s="9" t="s">
        <v>616</v>
      </c>
      <c r="Q51" s="9" t="s">
        <v>196</v>
      </c>
      <c r="R51" s="9" t="s">
        <v>551</v>
      </c>
      <c r="S51" s="9"/>
      <c r="T51" s="9"/>
      <c r="U51" s="9" t="s">
        <v>692</v>
      </c>
      <c r="V51" s="9" t="s">
        <v>903</v>
      </c>
      <c r="W51" s="9" t="s">
        <v>968</v>
      </c>
    </row>
    <row r="52" spans="1:23" ht="45" customHeight="1">
      <c r="A52" s="27" t="s">
        <v>694</v>
      </c>
      <c r="B52" s="9" t="s">
        <v>969</v>
      </c>
      <c r="C52" s="9" t="s">
        <v>610</v>
      </c>
      <c r="D52" s="9" t="s">
        <v>542</v>
      </c>
      <c r="E52" s="9" t="s">
        <v>400</v>
      </c>
      <c r="F52" s="9" t="s">
        <v>543</v>
      </c>
      <c r="G52" s="9" t="s">
        <v>970</v>
      </c>
      <c r="H52" s="9" t="s">
        <v>971</v>
      </c>
      <c r="I52" s="9" t="s">
        <v>972</v>
      </c>
      <c r="J52" s="9" t="s">
        <v>282</v>
      </c>
      <c r="K52" s="9" t="s">
        <v>973</v>
      </c>
      <c r="L52" s="9" t="s">
        <v>263</v>
      </c>
      <c r="M52" s="9" t="s">
        <v>974</v>
      </c>
      <c r="N52" s="9" t="s">
        <v>975</v>
      </c>
      <c r="O52" s="9" t="s">
        <v>976</v>
      </c>
      <c r="P52" s="9" t="s">
        <v>616</v>
      </c>
      <c r="Q52" s="9" t="s">
        <v>552</v>
      </c>
      <c r="R52" s="9" t="s">
        <v>551</v>
      </c>
      <c r="S52" s="9"/>
      <c r="T52" s="9" t="s">
        <v>977</v>
      </c>
      <c r="U52" s="9" t="s">
        <v>692</v>
      </c>
      <c r="V52" s="9" t="s">
        <v>978</v>
      </c>
      <c r="W52" s="9" t="s">
        <v>399</v>
      </c>
    </row>
    <row r="53" spans="1:23" ht="45" customHeight="1">
      <c r="A53" s="27" t="s">
        <v>694</v>
      </c>
      <c r="B53" s="9" t="s">
        <v>979</v>
      </c>
      <c r="C53" s="9" t="s">
        <v>610</v>
      </c>
      <c r="D53" s="9" t="s">
        <v>542</v>
      </c>
      <c r="E53" s="9" t="s">
        <v>980</v>
      </c>
      <c r="F53" s="9" t="s">
        <v>543</v>
      </c>
      <c r="G53" s="9" t="s">
        <v>624</v>
      </c>
      <c r="H53" s="9" t="s">
        <v>981</v>
      </c>
      <c r="I53" s="9" t="s">
        <v>982</v>
      </c>
      <c r="J53" s="9" t="s">
        <v>282</v>
      </c>
      <c r="K53" s="9" t="s">
        <v>627</v>
      </c>
      <c r="L53" s="9" t="s">
        <v>983</v>
      </c>
      <c r="M53" s="9" t="s">
        <v>629</v>
      </c>
      <c r="N53" s="9" t="s">
        <v>984</v>
      </c>
      <c r="O53" s="9" t="s">
        <v>985</v>
      </c>
      <c r="P53" s="9" t="s">
        <v>632</v>
      </c>
      <c r="Q53" s="9" t="s">
        <v>552</v>
      </c>
      <c r="R53" s="9" t="s">
        <v>551</v>
      </c>
      <c r="S53" s="9"/>
      <c r="T53" s="9" t="s">
        <v>986</v>
      </c>
      <c r="U53" s="9" t="s">
        <v>633</v>
      </c>
      <c r="V53" s="9" t="s">
        <v>634</v>
      </c>
      <c r="W53" s="9" t="s">
        <v>345</v>
      </c>
    </row>
    <row r="54" spans="1:23" ht="45" customHeight="1">
      <c r="A54" s="27" t="s">
        <v>694</v>
      </c>
      <c r="B54" s="9" t="s">
        <v>987</v>
      </c>
      <c r="C54" s="9" t="s">
        <v>610</v>
      </c>
      <c r="D54" s="9" t="s">
        <v>542</v>
      </c>
      <c r="E54" s="9" t="s">
        <v>352</v>
      </c>
      <c r="F54" s="9" t="s">
        <v>543</v>
      </c>
      <c r="G54" s="9" t="s">
        <v>988</v>
      </c>
      <c r="H54" s="9" t="s">
        <v>989</v>
      </c>
      <c r="I54" s="9" t="s">
        <v>990</v>
      </c>
      <c r="J54" s="9" t="s">
        <v>282</v>
      </c>
      <c r="K54" s="9" t="s">
        <v>627</v>
      </c>
      <c r="L54" s="9" t="s">
        <v>991</v>
      </c>
      <c r="M54" s="9" t="s">
        <v>640</v>
      </c>
      <c r="N54" s="9" t="s">
        <v>992</v>
      </c>
      <c r="O54" s="9" t="s">
        <v>993</v>
      </c>
      <c r="P54" s="9" t="s">
        <v>994</v>
      </c>
      <c r="Q54" s="9" t="s">
        <v>552</v>
      </c>
      <c r="R54" s="9" t="s">
        <v>551</v>
      </c>
      <c r="S54" s="9"/>
      <c r="T54" s="9"/>
      <c r="U54" s="9" t="s">
        <v>645</v>
      </c>
      <c r="V54" s="9" t="s">
        <v>903</v>
      </c>
      <c r="W54" s="9" t="s">
        <v>350</v>
      </c>
    </row>
    <row r="55" spans="1:23" ht="45" customHeight="1">
      <c r="A55" s="27" t="s">
        <v>694</v>
      </c>
      <c r="B55" s="9" t="s">
        <v>995</v>
      </c>
      <c r="C55" s="9" t="s">
        <v>610</v>
      </c>
      <c r="D55" s="9" t="s">
        <v>542</v>
      </c>
      <c r="E55" s="9" t="s">
        <v>359</v>
      </c>
      <c r="F55" s="9" t="s">
        <v>543</v>
      </c>
      <c r="G55" s="9" t="s">
        <v>996</v>
      </c>
      <c r="H55" s="9" t="s">
        <v>997</v>
      </c>
      <c r="I55" s="9" t="s">
        <v>998</v>
      </c>
      <c r="J55" s="9" t="s">
        <v>999</v>
      </c>
      <c r="K55" s="9" t="s">
        <v>1000</v>
      </c>
      <c r="L55" s="9" t="s">
        <v>1001</v>
      </c>
      <c r="M55" s="9" t="s">
        <v>1002</v>
      </c>
      <c r="N55" s="9" t="s">
        <v>1003</v>
      </c>
      <c r="O55" s="9" t="s">
        <v>631</v>
      </c>
      <c r="P55" s="9" t="s">
        <v>643</v>
      </c>
      <c r="Q55" s="9" t="s">
        <v>552</v>
      </c>
      <c r="R55" s="9" t="s">
        <v>551</v>
      </c>
      <c r="S55" s="9"/>
      <c r="T55" s="9" t="s">
        <v>1004</v>
      </c>
      <c r="U55" s="9" t="s">
        <v>645</v>
      </c>
      <c r="V55" s="9" t="s">
        <v>1005</v>
      </c>
      <c r="W55" s="9" t="s">
        <v>357</v>
      </c>
    </row>
    <row r="56" spans="1:23" ht="45" customHeight="1">
      <c r="A56" s="27" t="s">
        <v>694</v>
      </c>
      <c r="B56" s="9" t="s">
        <v>1006</v>
      </c>
      <c r="C56" s="9" t="s">
        <v>610</v>
      </c>
      <c r="D56" s="9" t="s">
        <v>542</v>
      </c>
      <c r="E56" s="9" t="s">
        <v>1007</v>
      </c>
      <c r="F56" s="9" t="s">
        <v>543</v>
      </c>
      <c r="G56" s="9" t="s">
        <v>1008</v>
      </c>
      <c r="H56" s="9" t="s">
        <v>1009</v>
      </c>
      <c r="I56" s="9" t="s">
        <v>1010</v>
      </c>
      <c r="J56" s="9" t="s">
        <v>239</v>
      </c>
      <c r="K56" s="9" t="s">
        <v>754</v>
      </c>
      <c r="L56" s="9" t="s">
        <v>755</v>
      </c>
      <c r="M56" s="9" t="s">
        <v>1011</v>
      </c>
      <c r="N56" s="9" t="s">
        <v>1012</v>
      </c>
      <c r="O56" s="9" t="s">
        <v>1013</v>
      </c>
      <c r="P56" s="9" t="s">
        <v>1014</v>
      </c>
      <c r="Q56" s="9" t="s">
        <v>552</v>
      </c>
      <c r="R56" s="9" t="s">
        <v>551</v>
      </c>
      <c r="S56" s="9"/>
      <c r="T56" s="9"/>
      <c r="U56" s="9" t="s">
        <v>771</v>
      </c>
      <c r="V56" s="9" t="s">
        <v>737</v>
      </c>
      <c r="W56" s="9" t="s">
        <v>254</v>
      </c>
    </row>
    <row r="57" spans="1:23" ht="45" customHeight="1">
      <c r="A57" s="27" t="s">
        <v>694</v>
      </c>
      <c r="B57" s="9" t="s">
        <v>1015</v>
      </c>
      <c r="C57" s="9" t="s">
        <v>610</v>
      </c>
      <c r="D57" s="9" t="s">
        <v>713</v>
      </c>
      <c r="E57" s="9" t="s">
        <v>1016</v>
      </c>
      <c r="F57" s="9" t="s">
        <v>715</v>
      </c>
      <c r="G57" s="9" t="s">
        <v>1017</v>
      </c>
      <c r="H57" s="9" t="s">
        <v>1018</v>
      </c>
      <c r="I57" s="9" t="s">
        <v>1019</v>
      </c>
      <c r="J57" s="9" t="s">
        <v>380</v>
      </c>
      <c r="K57" s="9" t="s">
        <v>1020</v>
      </c>
      <c r="L57" s="9" t="s">
        <v>730</v>
      </c>
      <c r="M57" s="9" t="s">
        <v>744</v>
      </c>
      <c r="N57" s="9" t="s">
        <v>1021</v>
      </c>
      <c r="O57" s="9" t="s">
        <v>616</v>
      </c>
      <c r="P57" s="9" t="s">
        <v>747</v>
      </c>
      <c r="Q57" s="9" t="s">
        <v>196</v>
      </c>
      <c r="R57" s="9" t="s">
        <v>551</v>
      </c>
      <c r="S57" s="9"/>
      <c r="T57" s="9" t="s">
        <v>1022</v>
      </c>
      <c r="U57" s="9" t="s">
        <v>655</v>
      </c>
      <c r="V57" s="9" t="s">
        <v>616</v>
      </c>
      <c r="W57" s="9" t="s">
        <v>320</v>
      </c>
    </row>
    <row r="58" spans="1:23" ht="45" customHeight="1">
      <c r="A58" s="27" t="s">
        <v>694</v>
      </c>
      <c r="B58" s="9" t="s">
        <v>1023</v>
      </c>
      <c r="C58" s="9" t="s">
        <v>610</v>
      </c>
      <c r="D58" s="9" t="s">
        <v>542</v>
      </c>
      <c r="E58" s="9" t="s">
        <v>371</v>
      </c>
      <c r="F58" s="9" t="s">
        <v>543</v>
      </c>
      <c r="G58" s="9" t="s">
        <v>1024</v>
      </c>
      <c r="H58" s="9" t="s">
        <v>1025</v>
      </c>
      <c r="I58" s="9" t="s">
        <v>1026</v>
      </c>
      <c r="J58" s="9" t="s">
        <v>282</v>
      </c>
      <c r="K58" s="9" t="s">
        <v>1027</v>
      </c>
      <c r="L58" s="9" t="s">
        <v>1028</v>
      </c>
      <c r="M58" s="9" t="s">
        <v>1029</v>
      </c>
      <c r="N58" s="9" t="s">
        <v>1030</v>
      </c>
      <c r="O58" s="9" t="s">
        <v>151</v>
      </c>
      <c r="P58" s="9" t="s">
        <v>616</v>
      </c>
      <c r="Q58" s="9" t="s">
        <v>552</v>
      </c>
      <c r="R58" s="9" t="s">
        <v>551</v>
      </c>
      <c r="S58" s="9"/>
      <c r="T58" s="9"/>
      <c r="U58" s="9" t="s">
        <v>655</v>
      </c>
      <c r="V58" s="9" t="s">
        <v>616</v>
      </c>
      <c r="W58" s="9" t="s">
        <v>369</v>
      </c>
    </row>
    <row r="59" spans="1:23" ht="45" customHeight="1">
      <c r="A59" s="27" t="s">
        <v>694</v>
      </c>
      <c r="B59" s="9" t="s">
        <v>1031</v>
      </c>
      <c r="C59" s="9" t="s">
        <v>610</v>
      </c>
      <c r="D59" s="9" t="s">
        <v>542</v>
      </c>
      <c r="E59" s="9" t="s">
        <v>1032</v>
      </c>
      <c r="F59" s="9" t="s">
        <v>543</v>
      </c>
      <c r="G59" s="9" t="s">
        <v>1033</v>
      </c>
      <c r="H59" s="9" t="s">
        <v>1034</v>
      </c>
      <c r="I59" s="9" t="s">
        <v>1035</v>
      </c>
      <c r="J59" s="9" t="s">
        <v>304</v>
      </c>
      <c r="K59" s="9" t="s">
        <v>299</v>
      </c>
      <c r="L59" s="9" t="s">
        <v>1036</v>
      </c>
      <c r="M59" s="9" t="s">
        <v>1037</v>
      </c>
      <c r="N59" s="9" t="s">
        <v>1038</v>
      </c>
      <c r="O59" s="9" t="s">
        <v>1039</v>
      </c>
      <c r="P59" s="9" t="s">
        <v>616</v>
      </c>
      <c r="Q59" s="9" t="s">
        <v>196</v>
      </c>
      <c r="R59" s="9" t="s">
        <v>551</v>
      </c>
      <c r="S59" s="9"/>
      <c r="T59" s="9"/>
      <c r="U59" s="9" t="s">
        <v>655</v>
      </c>
      <c r="V59" s="9" t="s">
        <v>673</v>
      </c>
      <c r="W59" s="9" t="s">
        <v>375</v>
      </c>
    </row>
    <row r="60" spans="1:23" ht="45" customHeight="1">
      <c r="A60" s="27" t="s">
        <v>694</v>
      </c>
      <c r="B60" s="9" t="s">
        <v>1040</v>
      </c>
      <c r="C60" s="9" t="s">
        <v>610</v>
      </c>
      <c r="D60" s="9" t="s">
        <v>542</v>
      </c>
      <c r="E60" s="9" t="s">
        <v>383</v>
      </c>
      <c r="F60" s="9" t="s">
        <v>543</v>
      </c>
      <c r="G60" s="9" t="s">
        <v>1041</v>
      </c>
      <c r="H60" s="9" t="s">
        <v>1042</v>
      </c>
      <c r="I60" s="9" t="s">
        <v>1043</v>
      </c>
      <c r="J60" s="9" t="s">
        <v>380</v>
      </c>
      <c r="K60" s="9" t="s">
        <v>1044</v>
      </c>
      <c r="L60" s="9" t="s">
        <v>382</v>
      </c>
      <c r="M60" s="9" t="s">
        <v>744</v>
      </c>
      <c r="N60" s="9" t="s">
        <v>1045</v>
      </c>
      <c r="O60" s="9" t="s">
        <v>616</v>
      </c>
      <c r="P60" s="9" t="s">
        <v>1046</v>
      </c>
      <c r="Q60" s="9" t="s">
        <v>214</v>
      </c>
      <c r="R60" s="9" t="s">
        <v>551</v>
      </c>
      <c r="S60" s="9"/>
      <c r="T60" s="9" t="s">
        <v>1047</v>
      </c>
      <c r="U60" s="9" t="s">
        <v>655</v>
      </c>
      <c r="V60" s="9" t="s">
        <v>616</v>
      </c>
      <c r="W60" s="9" t="s">
        <v>381</v>
      </c>
    </row>
    <row r="61" spans="1:23" ht="45" customHeight="1">
      <c r="A61" s="27" t="s">
        <v>694</v>
      </c>
      <c r="B61" s="9" t="s">
        <v>1048</v>
      </c>
      <c r="C61" s="9" t="s">
        <v>610</v>
      </c>
      <c r="D61" s="9" t="s">
        <v>542</v>
      </c>
      <c r="E61" s="9" t="s">
        <v>1049</v>
      </c>
      <c r="F61" s="9" t="s">
        <v>543</v>
      </c>
      <c r="G61" s="9" t="s">
        <v>1050</v>
      </c>
      <c r="H61" s="9" t="s">
        <v>1051</v>
      </c>
      <c r="I61" s="9" t="s">
        <v>1052</v>
      </c>
      <c r="J61" s="9" t="s">
        <v>1053</v>
      </c>
      <c r="K61" s="9" t="s">
        <v>1054</v>
      </c>
      <c r="L61" s="9" t="s">
        <v>276</v>
      </c>
      <c r="M61" s="9" t="s">
        <v>1055</v>
      </c>
      <c r="N61" s="9" t="s">
        <v>1056</v>
      </c>
      <c r="O61" s="9" t="s">
        <v>1057</v>
      </c>
      <c r="P61" s="9" t="s">
        <v>616</v>
      </c>
      <c r="Q61" s="9" t="s">
        <v>552</v>
      </c>
      <c r="R61" s="9" t="s">
        <v>551</v>
      </c>
      <c r="S61" s="9"/>
      <c r="T61" s="9" t="s">
        <v>1058</v>
      </c>
      <c r="U61" s="9" t="s">
        <v>683</v>
      </c>
      <c r="V61" s="9" t="s">
        <v>616</v>
      </c>
      <c r="W61" s="9" t="s">
        <v>375</v>
      </c>
    </row>
    <row r="62" spans="1:23" ht="45" customHeight="1">
      <c r="A62" s="27" t="s">
        <v>694</v>
      </c>
      <c r="B62" s="9" t="s">
        <v>1059</v>
      </c>
      <c r="C62" s="9" t="s">
        <v>610</v>
      </c>
      <c r="D62" s="9" t="s">
        <v>542</v>
      </c>
      <c r="E62" s="9" t="s">
        <v>1060</v>
      </c>
      <c r="F62" s="9" t="s">
        <v>543</v>
      </c>
      <c r="G62" s="9" t="s">
        <v>1061</v>
      </c>
      <c r="H62" s="9" t="s">
        <v>1062</v>
      </c>
      <c r="I62" s="9" t="s">
        <v>1063</v>
      </c>
      <c r="J62" s="9" t="s">
        <v>1064</v>
      </c>
      <c r="K62" s="9" t="s">
        <v>1065</v>
      </c>
      <c r="L62" s="9" t="s">
        <v>1066</v>
      </c>
      <c r="M62" s="9" t="s">
        <v>1067</v>
      </c>
      <c r="N62" s="9" t="s">
        <v>1068</v>
      </c>
      <c r="O62" s="9" t="s">
        <v>1039</v>
      </c>
      <c r="P62" s="9" t="s">
        <v>1069</v>
      </c>
      <c r="Q62" s="9" t="s">
        <v>552</v>
      </c>
      <c r="R62" s="9" t="s">
        <v>551</v>
      </c>
      <c r="S62" s="9"/>
      <c r="T62" s="9"/>
      <c r="U62" s="9" t="s">
        <v>683</v>
      </c>
      <c r="V62" s="9" t="s">
        <v>903</v>
      </c>
      <c r="W62" s="9" t="s">
        <v>387</v>
      </c>
    </row>
    <row r="63" spans="1:23" ht="30" customHeight="1">
      <c r="A63" s="27" t="s">
        <v>694</v>
      </c>
      <c r="B63" s="9" t="s">
        <v>1070</v>
      </c>
      <c r="C63" s="9" t="s">
        <v>610</v>
      </c>
      <c r="D63" s="9" t="s">
        <v>542</v>
      </c>
      <c r="E63" s="9" t="s">
        <v>1071</v>
      </c>
      <c r="F63" s="9" t="s">
        <v>543</v>
      </c>
      <c r="G63" s="9" t="s">
        <v>687</v>
      </c>
      <c r="H63" s="9" t="s">
        <v>1072</v>
      </c>
      <c r="I63" s="9" t="s">
        <v>1073</v>
      </c>
      <c r="J63" s="9" t="s">
        <v>239</v>
      </c>
      <c r="K63" s="9" t="s">
        <v>243</v>
      </c>
      <c r="L63" s="9" t="s">
        <v>766</v>
      </c>
      <c r="M63" s="9" t="s">
        <v>1074</v>
      </c>
      <c r="N63" s="9" t="s">
        <v>1075</v>
      </c>
      <c r="O63" s="9" t="s">
        <v>746</v>
      </c>
      <c r="P63" s="9" t="s">
        <v>1076</v>
      </c>
      <c r="Q63" s="9" t="s">
        <v>552</v>
      </c>
      <c r="R63" s="9" t="s">
        <v>551</v>
      </c>
      <c r="S63" s="9"/>
      <c r="T63" s="9" t="s">
        <v>1077</v>
      </c>
      <c r="U63" s="9" t="s">
        <v>771</v>
      </c>
      <c r="V63" s="9" t="s">
        <v>693</v>
      </c>
      <c r="W63" s="9" t="s">
        <v>240</v>
      </c>
    </row>
    <row r="64" spans="1:23" ht="45" customHeight="1">
      <c r="A64" s="27" t="s">
        <v>694</v>
      </c>
      <c r="B64" s="9" t="s">
        <v>1078</v>
      </c>
      <c r="C64" s="9" t="s">
        <v>610</v>
      </c>
      <c r="D64" s="9" t="s">
        <v>542</v>
      </c>
      <c r="E64" s="9" t="s">
        <v>1079</v>
      </c>
      <c r="F64" s="9" t="s">
        <v>543</v>
      </c>
      <c r="G64" s="9" t="s">
        <v>687</v>
      </c>
      <c r="H64" s="9" t="s">
        <v>1080</v>
      </c>
      <c r="I64" s="9" t="s">
        <v>1081</v>
      </c>
      <c r="J64" s="9" t="s">
        <v>728</v>
      </c>
      <c r="K64" s="9" t="s">
        <v>243</v>
      </c>
      <c r="L64" s="9" t="s">
        <v>935</v>
      </c>
      <c r="M64" s="9" t="s">
        <v>31</v>
      </c>
      <c r="N64" s="9" t="s">
        <v>1082</v>
      </c>
      <c r="O64" s="9" t="s">
        <v>1083</v>
      </c>
      <c r="P64" s="9" t="s">
        <v>1084</v>
      </c>
      <c r="Q64" s="9" t="s">
        <v>196</v>
      </c>
      <c r="R64" s="9" t="s">
        <v>551</v>
      </c>
      <c r="S64" s="9"/>
      <c r="T64" s="9" t="s">
        <v>1085</v>
      </c>
      <c r="U64" s="9" t="s">
        <v>692</v>
      </c>
      <c r="V64" s="9" t="s">
        <v>693</v>
      </c>
      <c r="W64" s="9" t="s">
        <v>968</v>
      </c>
    </row>
    <row r="65" spans="1:23" ht="45" customHeight="1">
      <c r="A65" s="27" t="s">
        <v>694</v>
      </c>
      <c r="B65" s="9" t="s">
        <v>1086</v>
      </c>
      <c r="C65" s="9" t="s">
        <v>610</v>
      </c>
      <c r="D65" s="9" t="s">
        <v>542</v>
      </c>
      <c r="E65" s="9" t="s">
        <v>1087</v>
      </c>
      <c r="F65" s="9" t="s">
        <v>543</v>
      </c>
      <c r="G65" s="9" t="s">
        <v>687</v>
      </c>
      <c r="H65" s="9" t="s">
        <v>1088</v>
      </c>
      <c r="I65" s="9" t="s">
        <v>1089</v>
      </c>
      <c r="J65" s="9" t="s">
        <v>728</v>
      </c>
      <c r="K65" s="9" t="s">
        <v>243</v>
      </c>
      <c r="L65" s="9" t="s">
        <v>823</v>
      </c>
      <c r="M65" s="9" t="s">
        <v>31</v>
      </c>
      <c r="N65" s="9" t="s">
        <v>1090</v>
      </c>
      <c r="O65" s="9" t="s">
        <v>746</v>
      </c>
      <c r="P65" s="9" t="s">
        <v>1091</v>
      </c>
      <c r="Q65" s="9" t="s">
        <v>196</v>
      </c>
      <c r="R65" s="9" t="s">
        <v>551</v>
      </c>
      <c r="S65" s="9"/>
      <c r="T65" s="9" t="s">
        <v>1092</v>
      </c>
      <c r="U65" s="9" t="s">
        <v>771</v>
      </c>
      <c r="V65" s="9" t="s">
        <v>693</v>
      </c>
      <c r="W65" s="9" t="s">
        <v>248</v>
      </c>
    </row>
    <row r="66" spans="1:23" ht="45" customHeight="1">
      <c r="A66" s="27" t="s">
        <v>694</v>
      </c>
      <c r="B66" s="9" t="s">
        <v>1093</v>
      </c>
      <c r="C66" s="9" t="s">
        <v>610</v>
      </c>
      <c r="D66" s="9" t="s">
        <v>542</v>
      </c>
      <c r="E66" s="9" t="s">
        <v>1094</v>
      </c>
      <c r="F66" s="9" t="s">
        <v>543</v>
      </c>
      <c r="G66" s="9" t="s">
        <v>1095</v>
      </c>
      <c r="H66" s="9" t="s">
        <v>1096</v>
      </c>
      <c r="I66" s="9" t="s">
        <v>1097</v>
      </c>
      <c r="J66" s="9" t="s">
        <v>239</v>
      </c>
      <c r="K66" s="9" t="s">
        <v>1095</v>
      </c>
      <c r="L66" s="9" t="s">
        <v>766</v>
      </c>
      <c r="M66" s="9" t="s">
        <v>1098</v>
      </c>
      <c r="N66" s="9" t="s">
        <v>1099</v>
      </c>
      <c r="O66" s="9" t="s">
        <v>926</v>
      </c>
      <c r="P66" s="9" t="s">
        <v>1100</v>
      </c>
      <c r="Q66" s="9" t="s">
        <v>552</v>
      </c>
      <c r="R66" s="9" t="s">
        <v>551</v>
      </c>
      <c r="S66" s="9"/>
      <c r="T66" s="9" t="s">
        <v>1101</v>
      </c>
      <c r="U66" s="9" t="s">
        <v>1102</v>
      </c>
      <c r="V66" s="9" t="s">
        <v>737</v>
      </c>
      <c r="W66" s="9" t="s">
        <v>240</v>
      </c>
    </row>
    <row r="67" spans="1:23" ht="30" customHeight="1">
      <c r="A67" s="27" t="s">
        <v>694</v>
      </c>
      <c r="B67" s="9" t="s">
        <v>1103</v>
      </c>
      <c r="C67" s="9" t="s">
        <v>610</v>
      </c>
      <c r="D67" s="9" t="s">
        <v>190</v>
      </c>
      <c r="E67" s="9" t="s">
        <v>1104</v>
      </c>
      <c r="F67" s="9" t="s">
        <v>612</v>
      </c>
      <c r="G67" s="9" t="s">
        <v>1095</v>
      </c>
      <c r="H67" s="9" t="s">
        <v>1105</v>
      </c>
      <c r="I67" s="9" t="s">
        <v>1106</v>
      </c>
      <c r="J67" s="9" t="s">
        <v>616</v>
      </c>
      <c r="K67" s="9" t="s">
        <v>1095</v>
      </c>
      <c r="L67" s="9" t="s">
        <v>1107</v>
      </c>
      <c r="M67" s="9" t="s">
        <v>1108</v>
      </c>
      <c r="N67" s="9" t="s">
        <v>618</v>
      </c>
      <c r="O67" s="9" t="s">
        <v>619</v>
      </c>
      <c r="P67" s="9" t="s">
        <v>616</v>
      </c>
      <c r="Q67" s="9" t="s">
        <v>214</v>
      </c>
      <c r="R67" s="9" t="s">
        <v>618</v>
      </c>
      <c r="S67" s="9"/>
      <c r="T67" s="9" t="s">
        <v>1109</v>
      </c>
      <c r="U67" s="9" t="s">
        <v>616</v>
      </c>
      <c r="V67" s="9" t="s">
        <v>737</v>
      </c>
      <c r="W67" s="9" t="s">
        <v>616</v>
      </c>
    </row>
    <row r="68" spans="1:23" ht="45" customHeight="1">
      <c r="A68" s="27" t="s">
        <v>694</v>
      </c>
      <c r="B68" s="9" t="s">
        <v>1110</v>
      </c>
      <c r="C68" s="9" t="s">
        <v>610</v>
      </c>
      <c r="D68" s="9" t="s">
        <v>542</v>
      </c>
      <c r="E68" s="9" t="s">
        <v>1111</v>
      </c>
      <c r="F68" s="9" t="s">
        <v>543</v>
      </c>
      <c r="G68" s="9" t="s">
        <v>1112</v>
      </c>
      <c r="H68" s="9" t="s">
        <v>1113</v>
      </c>
      <c r="I68" s="9" t="s">
        <v>1114</v>
      </c>
      <c r="J68" s="9" t="s">
        <v>239</v>
      </c>
      <c r="K68" s="9" t="s">
        <v>243</v>
      </c>
      <c r="L68" s="9" t="s">
        <v>766</v>
      </c>
      <c r="M68" s="9" t="s">
        <v>1115</v>
      </c>
      <c r="N68" s="9" t="s">
        <v>1116</v>
      </c>
      <c r="O68" s="9" t="s">
        <v>631</v>
      </c>
      <c r="P68" s="9" t="s">
        <v>1117</v>
      </c>
      <c r="Q68" s="9" t="s">
        <v>552</v>
      </c>
      <c r="R68" s="9" t="s">
        <v>551</v>
      </c>
      <c r="S68" s="9"/>
      <c r="T68" s="9" t="s">
        <v>1118</v>
      </c>
      <c r="U68" s="9" t="s">
        <v>771</v>
      </c>
      <c r="V68" s="9" t="s">
        <v>939</v>
      </c>
      <c r="W68" s="9" t="s">
        <v>240</v>
      </c>
    </row>
    <row r="69" spans="1:23" ht="30" customHeight="1">
      <c r="A69" s="27" t="s">
        <v>694</v>
      </c>
      <c r="B69" s="9" t="s">
        <v>1119</v>
      </c>
      <c r="C69" s="9" t="s">
        <v>610</v>
      </c>
      <c r="D69" s="9" t="s">
        <v>542</v>
      </c>
      <c r="E69" s="9" t="s">
        <v>1120</v>
      </c>
      <c r="F69" s="9" t="s">
        <v>543</v>
      </c>
      <c r="G69" s="9" t="s">
        <v>1121</v>
      </c>
      <c r="H69" s="9" t="s">
        <v>1122</v>
      </c>
      <c r="I69" s="9" t="s">
        <v>1123</v>
      </c>
      <c r="J69" s="9" t="s">
        <v>282</v>
      </c>
      <c r="K69" s="9" t="s">
        <v>627</v>
      </c>
      <c r="L69" s="9" t="s">
        <v>1124</v>
      </c>
      <c r="M69" s="9" t="s">
        <v>1125</v>
      </c>
      <c r="N69" s="9" t="s">
        <v>1126</v>
      </c>
      <c r="O69" s="9" t="s">
        <v>1127</v>
      </c>
      <c r="P69" s="9" t="s">
        <v>1128</v>
      </c>
      <c r="Q69" s="9" t="s">
        <v>552</v>
      </c>
      <c r="R69" s="9" t="s">
        <v>551</v>
      </c>
      <c r="S69" s="9"/>
      <c r="T69" s="9" t="s">
        <v>1129</v>
      </c>
      <c r="U69" s="9" t="s">
        <v>633</v>
      </c>
      <c r="V69" s="9" t="s">
        <v>939</v>
      </c>
      <c r="W69" s="9" t="s">
        <v>345</v>
      </c>
    </row>
    <row r="70" spans="1:23" ht="30" customHeight="1">
      <c r="A70" s="27" t="s">
        <v>694</v>
      </c>
      <c r="B70" s="9" t="s">
        <v>1130</v>
      </c>
      <c r="C70" s="9" t="s">
        <v>610</v>
      </c>
      <c r="D70" s="9" t="s">
        <v>542</v>
      </c>
      <c r="E70" s="9" t="s">
        <v>1131</v>
      </c>
      <c r="F70" s="9" t="s">
        <v>543</v>
      </c>
      <c r="G70" s="9" t="s">
        <v>1121</v>
      </c>
      <c r="H70" s="9" t="s">
        <v>1132</v>
      </c>
      <c r="I70" s="9" t="s">
        <v>1133</v>
      </c>
      <c r="J70" s="9" t="s">
        <v>282</v>
      </c>
      <c r="K70" s="9" t="s">
        <v>627</v>
      </c>
      <c r="L70" s="9" t="s">
        <v>1134</v>
      </c>
      <c r="M70" s="9" t="s">
        <v>1125</v>
      </c>
      <c r="N70" s="9" t="s">
        <v>1135</v>
      </c>
      <c r="O70" s="9" t="s">
        <v>722</v>
      </c>
      <c r="P70" s="9" t="s">
        <v>1128</v>
      </c>
      <c r="Q70" s="9" t="s">
        <v>552</v>
      </c>
      <c r="R70" s="9" t="s">
        <v>551</v>
      </c>
      <c r="S70" s="9"/>
      <c r="T70" s="9" t="s">
        <v>1136</v>
      </c>
      <c r="U70" s="9" t="s">
        <v>1137</v>
      </c>
      <c r="V70" s="9" t="s">
        <v>939</v>
      </c>
      <c r="W70" s="9" t="s">
        <v>411</v>
      </c>
    </row>
    <row r="71" spans="1:23" ht="30" customHeight="1">
      <c r="A71" s="27" t="s">
        <v>694</v>
      </c>
      <c r="B71" s="9" t="s">
        <v>1138</v>
      </c>
      <c r="C71" s="9" t="s">
        <v>610</v>
      </c>
      <c r="D71" s="9" t="s">
        <v>542</v>
      </c>
      <c r="E71" s="9" t="s">
        <v>406</v>
      </c>
      <c r="F71" s="9" t="s">
        <v>543</v>
      </c>
      <c r="G71" s="9" t="s">
        <v>1139</v>
      </c>
      <c r="H71" s="9" t="s">
        <v>1140</v>
      </c>
      <c r="I71" s="9" t="s">
        <v>1141</v>
      </c>
      <c r="J71" s="9" t="s">
        <v>1142</v>
      </c>
      <c r="K71" s="9" t="s">
        <v>1143</v>
      </c>
      <c r="L71" s="9" t="s">
        <v>1144</v>
      </c>
      <c r="M71" s="9" t="s">
        <v>1139</v>
      </c>
      <c r="N71" s="9" t="s">
        <v>1145</v>
      </c>
      <c r="O71" s="9" t="s">
        <v>1146</v>
      </c>
      <c r="P71" s="9" t="s">
        <v>1128</v>
      </c>
      <c r="Q71" s="9" t="s">
        <v>552</v>
      </c>
      <c r="R71" s="9" t="s">
        <v>551</v>
      </c>
      <c r="S71" s="9"/>
      <c r="T71" s="9" t="s">
        <v>1147</v>
      </c>
      <c r="U71" s="9" t="s">
        <v>692</v>
      </c>
      <c r="V71" s="9" t="s">
        <v>959</v>
      </c>
      <c r="W71" s="9" t="s">
        <v>405</v>
      </c>
    </row>
    <row r="72" spans="1:23" ht="30" customHeight="1">
      <c r="A72" s="27" t="s">
        <v>694</v>
      </c>
      <c r="B72" s="9" t="s">
        <v>1148</v>
      </c>
      <c r="C72" s="9" t="s">
        <v>610</v>
      </c>
      <c r="D72" s="9" t="s">
        <v>542</v>
      </c>
      <c r="E72" s="9" t="s">
        <v>1149</v>
      </c>
      <c r="F72" s="9" t="s">
        <v>543</v>
      </c>
      <c r="G72" s="9" t="s">
        <v>1139</v>
      </c>
      <c r="H72" s="9" t="s">
        <v>1150</v>
      </c>
      <c r="I72" s="9" t="s">
        <v>1151</v>
      </c>
      <c r="J72" s="9" t="s">
        <v>282</v>
      </c>
      <c r="K72" s="9" t="s">
        <v>627</v>
      </c>
      <c r="L72" s="9" t="s">
        <v>346</v>
      </c>
      <c r="M72" s="9" t="s">
        <v>1139</v>
      </c>
      <c r="N72" s="9" t="s">
        <v>1145</v>
      </c>
      <c r="O72" s="9" t="s">
        <v>864</v>
      </c>
      <c r="P72" s="9" t="s">
        <v>1128</v>
      </c>
      <c r="Q72" s="9" t="s">
        <v>552</v>
      </c>
      <c r="R72" s="9" t="s">
        <v>551</v>
      </c>
      <c r="S72" s="9"/>
      <c r="T72" s="9"/>
      <c r="U72" s="9" t="s">
        <v>692</v>
      </c>
      <c r="V72" s="9" t="s">
        <v>959</v>
      </c>
      <c r="W72" s="9" t="s">
        <v>345</v>
      </c>
    </row>
    <row r="73" spans="1:23" ht="30" customHeight="1">
      <c r="A73" s="27" t="s">
        <v>694</v>
      </c>
      <c r="B73" s="9" t="s">
        <v>1152</v>
      </c>
      <c r="C73" s="9" t="s">
        <v>1153</v>
      </c>
      <c r="D73" s="9" t="s">
        <v>1154</v>
      </c>
      <c r="E73" s="9" t="s">
        <v>1155</v>
      </c>
      <c r="F73" s="9" t="s">
        <v>1156</v>
      </c>
      <c r="G73" s="9" t="s">
        <v>1157</v>
      </c>
      <c r="H73" s="9" t="s">
        <v>1158</v>
      </c>
      <c r="I73" s="9" t="s">
        <v>1159</v>
      </c>
      <c r="J73" s="9" t="s">
        <v>1160</v>
      </c>
      <c r="K73" s="9" t="s">
        <v>1161</v>
      </c>
      <c r="L73" s="9" t="s">
        <v>1162</v>
      </c>
      <c r="M73" s="9" t="s">
        <v>1163</v>
      </c>
      <c r="N73" s="9" t="s">
        <v>744</v>
      </c>
      <c r="O73" s="9" t="s">
        <v>1164</v>
      </c>
      <c r="P73" s="9" t="s">
        <v>616</v>
      </c>
      <c r="Q73" s="9" t="s">
        <v>196</v>
      </c>
      <c r="R73" s="9" t="s">
        <v>1165</v>
      </c>
      <c r="S73" s="9" t="s">
        <v>196</v>
      </c>
      <c r="T73" s="9" t="s">
        <v>1166</v>
      </c>
      <c r="U73" s="9"/>
      <c r="V73" s="9"/>
      <c r="W73" s="9"/>
    </row>
    <row r="74" spans="1:23" ht="30" customHeight="1">
      <c r="A74" s="27" t="s">
        <v>694</v>
      </c>
      <c r="B74" s="9" t="s">
        <v>1167</v>
      </c>
      <c r="C74" s="9" t="s">
        <v>1153</v>
      </c>
      <c r="D74" s="9" t="s">
        <v>1154</v>
      </c>
      <c r="E74" s="9" t="s">
        <v>1168</v>
      </c>
      <c r="F74" s="9" t="s">
        <v>1156</v>
      </c>
      <c r="G74" s="9" t="s">
        <v>1169</v>
      </c>
      <c r="H74" s="9" t="s">
        <v>1170</v>
      </c>
      <c r="I74" s="9" t="s">
        <v>1171</v>
      </c>
      <c r="J74" s="9" t="s">
        <v>1172</v>
      </c>
      <c r="K74" s="9" t="s">
        <v>1161</v>
      </c>
      <c r="L74" s="9" t="s">
        <v>1173</v>
      </c>
      <c r="M74" s="9" t="s">
        <v>1174</v>
      </c>
      <c r="N74" s="9" t="s">
        <v>1175</v>
      </c>
      <c r="O74" s="9" t="s">
        <v>1039</v>
      </c>
      <c r="P74" s="9" t="s">
        <v>616</v>
      </c>
      <c r="Q74" s="9" t="s">
        <v>552</v>
      </c>
      <c r="R74" s="9" t="s">
        <v>551</v>
      </c>
      <c r="S74" s="9" t="s">
        <v>552</v>
      </c>
      <c r="T74" s="9" t="s">
        <v>616</v>
      </c>
      <c r="U74" s="9"/>
      <c r="V74" s="9"/>
      <c r="W74" s="9"/>
    </row>
    <row r="75" spans="1:23" ht="30" customHeight="1">
      <c r="A75" s="27" t="s">
        <v>694</v>
      </c>
      <c r="B75" s="9" t="s">
        <v>1176</v>
      </c>
      <c r="C75" s="9" t="s">
        <v>1153</v>
      </c>
      <c r="D75" s="9" t="s">
        <v>1154</v>
      </c>
      <c r="E75" s="9" t="s">
        <v>1177</v>
      </c>
      <c r="F75" s="9" t="s">
        <v>1156</v>
      </c>
      <c r="G75" s="9" t="s">
        <v>1169</v>
      </c>
      <c r="H75" s="9" t="s">
        <v>1178</v>
      </c>
      <c r="I75" s="9" t="s">
        <v>1179</v>
      </c>
      <c r="J75" s="9" t="s">
        <v>1172</v>
      </c>
      <c r="K75" s="9" t="s">
        <v>1161</v>
      </c>
      <c r="L75" s="9" t="s">
        <v>1173</v>
      </c>
      <c r="M75" s="9" t="s">
        <v>1180</v>
      </c>
      <c r="N75" s="9" t="s">
        <v>1181</v>
      </c>
      <c r="O75" s="9" t="s">
        <v>1182</v>
      </c>
      <c r="P75" s="9" t="s">
        <v>616</v>
      </c>
      <c r="Q75" s="9" t="s">
        <v>552</v>
      </c>
      <c r="R75" s="9" t="s">
        <v>551</v>
      </c>
      <c r="S75" s="9" t="s">
        <v>552</v>
      </c>
      <c r="T75" s="9" t="s">
        <v>616</v>
      </c>
      <c r="U75" s="9"/>
      <c r="V75" s="9"/>
      <c r="W75" s="9"/>
    </row>
    <row r="76" spans="1:23" ht="30" customHeight="1">
      <c r="A76" s="27" t="s">
        <v>694</v>
      </c>
      <c r="B76" s="9" t="s">
        <v>1183</v>
      </c>
      <c r="C76" s="9" t="s">
        <v>1153</v>
      </c>
      <c r="D76" s="9" t="s">
        <v>1154</v>
      </c>
      <c r="E76" s="9" t="s">
        <v>1184</v>
      </c>
      <c r="F76" s="9" t="s">
        <v>1156</v>
      </c>
      <c r="G76" s="9" t="s">
        <v>1185</v>
      </c>
      <c r="H76" s="9" t="s">
        <v>1186</v>
      </c>
      <c r="I76" s="9" t="s">
        <v>1187</v>
      </c>
      <c r="J76" s="9" t="s">
        <v>1188</v>
      </c>
      <c r="K76" s="9" t="s">
        <v>1161</v>
      </c>
      <c r="L76" s="9" t="s">
        <v>1173</v>
      </c>
      <c r="M76" s="9" t="s">
        <v>1189</v>
      </c>
      <c r="N76" s="9" t="s">
        <v>1190</v>
      </c>
      <c r="O76" s="9" t="s">
        <v>1039</v>
      </c>
      <c r="P76" s="9" t="s">
        <v>616</v>
      </c>
      <c r="Q76" s="9" t="s">
        <v>552</v>
      </c>
      <c r="R76" s="9" t="s">
        <v>551</v>
      </c>
      <c r="S76" s="9" t="s">
        <v>552</v>
      </c>
      <c r="T76" s="9" t="s">
        <v>616</v>
      </c>
      <c r="U76" s="9"/>
      <c r="V76" s="9"/>
      <c r="W76" s="9"/>
    </row>
    <row r="77" spans="1:23" ht="30" customHeight="1">
      <c r="A77" s="27" t="s">
        <v>694</v>
      </c>
      <c r="B77" s="9" t="s">
        <v>1191</v>
      </c>
      <c r="C77" s="9" t="s">
        <v>1153</v>
      </c>
      <c r="D77" s="9" t="s">
        <v>1154</v>
      </c>
      <c r="E77" s="9" t="s">
        <v>1192</v>
      </c>
      <c r="F77" s="9" t="s">
        <v>1156</v>
      </c>
      <c r="G77" s="9" t="s">
        <v>1185</v>
      </c>
      <c r="H77" s="9" t="s">
        <v>1193</v>
      </c>
      <c r="I77" s="9" t="s">
        <v>1194</v>
      </c>
      <c r="J77" s="9" t="s">
        <v>1172</v>
      </c>
      <c r="K77" s="9" t="s">
        <v>1161</v>
      </c>
      <c r="L77" s="9" t="s">
        <v>1173</v>
      </c>
      <c r="M77" s="9" t="s">
        <v>1195</v>
      </c>
      <c r="N77" s="9" t="s">
        <v>1196</v>
      </c>
      <c r="O77" s="9" t="s">
        <v>1039</v>
      </c>
      <c r="P77" s="9" t="s">
        <v>616</v>
      </c>
      <c r="Q77" s="9" t="s">
        <v>552</v>
      </c>
      <c r="R77" s="9" t="s">
        <v>551</v>
      </c>
      <c r="S77" s="9" t="s">
        <v>552</v>
      </c>
      <c r="T77" s="9" t="s">
        <v>616</v>
      </c>
      <c r="U77" s="9"/>
      <c r="V77" s="9"/>
      <c r="W77" s="9"/>
    </row>
    <row r="78" spans="1:23" ht="30" customHeight="1">
      <c r="A78" s="27" t="s">
        <v>694</v>
      </c>
      <c r="B78" s="9" t="s">
        <v>1197</v>
      </c>
      <c r="C78" s="9" t="s">
        <v>1153</v>
      </c>
      <c r="D78" s="9" t="s">
        <v>1154</v>
      </c>
      <c r="E78" s="9" t="s">
        <v>1198</v>
      </c>
      <c r="F78" s="9" t="s">
        <v>1156</v>
      </c>
      <c r="G78" s="9" t="s">
        <v>1199</v>
      </c>
      <c r="H78" s="9" t="s">
        <v>1200</v>
      </c>
      <c r="I78" s="9" t="s">
        <v>1201</v>
      </c>
      <c r="J78" s="9" t="s">
        <v>1202</v>
      </c>
      <c r="K78" s="9" t="s">
        <v>1161</v>
      </c>
      <c r="L78" s="9" t="s">
        <v>1173</v>
      </c>
      <c r="M78" s="9" t="s">
        <v>1203</v>
      </c>
      <c r="N78" s="9" t="s">
        <v>1204</v>
      </c>
      <c r="O78" s="9" t="s">
        <v>1182</v>
      </c>
      <c r="P78" s="9" t="s">
        <v>616</v>
      </c>
      <c r="Q78" s="9" t="s">
        <v>552</v>
      </c>
      <c r="R78" s="9" t="s">
        <v>551</v>
      </c>
      <c r="S78" s="9" t="s">
        <v>552</v>
      </c>
      <c r="T78" s="9" t="s">
        <v>616</v>
      </c>
      <c r="U78" s="9"/>
      <c r="V78" s="9"/>
      <c r="W78" s="9"/>
    </row>
    <row r="79" spans="1:23" ht="30" customHeight="1">
      <c r="A79" s="27" t="s">
        <v>694</v>
      </c>
      <c r="B79" s="9" t="s">
        <v>1205</v>
      </c>
      <c r="C79" s="9" t="s">
        <v>1153</v>
      </c>
      <c r="D79" s="9" t="s">
        <v>1154</v>
      </c>
      <c r="E79" s="9" t="s">
        <v>1206</v>
      </c>
      <c r="F79" s="9" t="s">
        <v>1156</v>
      </c>
      <c r="G79" s="9" t="s">
        <v>1207</v>
      </c>
      <c r="H79" s="9" t="s">
        <v>1208</v>
      </c>
      <c r="I79" s="9" t="s">
        <v>1209</v>
      </c>
      <c r="J79" s="9" t="s">
        <v>1202</v>
      </c>
      <c r="K79" s="9" t="s">
        <v>1161</v>
      </c>
      <c r="L79" s="9" t="s">
        <v>1173</v>
      </c>
      <c r="M79" s="9" t="s">
        <v>1210</v>
      </c>
      <c r="N79" s="9" t="s">
        <v>1211</v>
      </c>
      <c r="O79" s="9" t="s">
        <v>1182</v>
      </c>
      <c r="P79" s="9" t="s">
        <v>616</v>
      </c>
      <c r="Q79" s="9" t="s">
        <v>552</v>
      </c>
      <c r="R79" s="9" t="s">
        <v>551</v>
      </c>
      <c r="S79" s="9" t="s">
        <v>552</v>
      </c>
      <c r="T79" s="9" t="s">
        <v>616</v>
      </c>
      <c r="U79" s="9"/>
      <c r="V79" s="9"/>
      <c r="W79" s="9"/>
    </row>
    <row r="80" spans="1:23" ht="30" customHeight="1">
      <c r="A80" s="27" t="s">
        <v>694</v>
      </c>
      <c r="B80" s="9" t="s">
        <v>1212</v>
      </c>
      <c r="C80" s="9" t="s">
        <v>1153</v>
      </c>
      <c r="D80" s="9" t="s">
        <v>1154</v>
      </c>
      <c r="E80" s="9" t="s">
        <v>1213</v>
      </c>
      <c r="F80" s="9" t="s">
        <v>1156</v>
      </c>
      <c r="G80" s="9" t="s">
        <v>1214</v>
      </c>
      <c r="H80" s="9" t="s">
        <v>1215</v>
      </c>
      <c r="I80" s="9" t="s">
        <v>1216</v>
      </c>
      <c r="J80" s="9" t="s">
        <v>1217</v>
      </c>
      <c r="K80" s="9" t="s">
        <v>1161</v>
      </c>
      <c r="L80" s="9" t="s">
        <v>1173</v>
      </c>
      <c r="M80" s="9" t="s">
        <v>1218</v>
      </c>
      <c r="N80" s="9" t="s">
        <v>1219</v>
      </c>
      <c r="O80" s="9" t="s">
        <v>1220</v>
      </c>
      <c r="P80" s="9" t="s">
        <v>616</v>
      </c>
      <c r="Q80" s="9" t="s">
        <v>196</v>
      </c>
      <c r="R80" s="9" t="s">
        <v>1221</v>
      </c>
      <c r="S80" s="9" t="s">
        <v>196</v>
      </c>
      <c r="T80" s="9" t="s">
        <v>1222</v>
      </c>
      <c r="U80" s="9"/>
      <c r="V80" s="9"/>
      <c r="W80" s="9"/>
    </row>
    <row r="81" spans="1:23" ht="30" customHeight="1">
      <c r="A81" s="27" t="s">
        <v>694</v>
      </c>
      <c r="B81" s="9" t="s">
        <v>1223</v>
      </c>
      <c r="C81" s="9" t="s">
        <v>1153</v>
      </c>
      <c r="D81" s="9" t="s">
        <v>1154</v>
      </c>
      <c r="E81" s="9" t="s">
        <v>1224</v>
      </c>
      <c r="F81" s="9" t="s">
        <v>1156</v>
      </c>
      <c r="G81" s="9" t="s">
        <v>1169</v>
      </c>
      <c r="H81" s="9" t="s">
        <v>1225</v>
      </c>
      <c r="I81" s="9" t="s">
        <v>1226</v>
      </c>
      <c r="J81" s="9" t="s">
        <v>1188</v>
      </c>
      <c r="K81" s="9" t="s">
        <v>1161</v>
      </c>
      <c r="L81" s="9" t="s">
        <v>1173</v>
      </c>
      <c r="M81" s="9" t="s">
        <v>1227</v>
      </c>
      <c r="N81" s="9" t="s">
        <v>1228</v>
      </c>
      <c r="O81" s="9" t="s">
        <v>1039</v>
      </c>
      <c r="P81" s="9" t="s">
        <v>616</v>
      </c>
      <c r="Q81" s="9" t="s">
        <v>552</v>
      </c>
      <c r="R81" s="9" t="s">
        <v>551</v>
      </c>
      <c r="S81" s="9" t="s">
        <v>552</v>
      </c>
      <c r="T81" s="9" t="s">
        <v>1229</v>
      </c>
      <c r="U81" s="9"/>
      <c r="V81" s="9"/>
      <c r="W81" s="9"/>
    </row>
    <row r="82" spans="1:23" ht="30" customHeight="1">
      <c r="A82" s="27" t="s">
        <v>694</v>
      </c>
      <c r="B82" s="9" t="s">
        <v>1230</v>
      </c>
      <c r="C82" s="9" t="s">
        <v>1153</v>
      </c>
      <c r="D82" s="9" t="s">
        <v>1154</v>
      </c>
      <c r="E82" s="9" t="s">
        <v>1231</v>
      </c>
      <c r="F82" s="9" t="s">
        <v>1156</v>
      </c>
      <c r="G82" s="9" t="s">
        <v>1207</v>
      </c>
      <c r="H82" s="9" t="s">
        <v>1232</v>
      </c>
      <c r="I82" s="9" t="s">
        <v>1233</v>
      </c>
      <c r="J82" s="9" t="s">
        <v>1202</v>
      </c>
      <c r="K82" s="9" t="s">
        <v>1161</v>
      </c>
      <c r="L82" s="9" t="s">
        <v>1173</v>
      </c>
      <c r="M82" s="9" t="s">
        <v>1234</v>
      </c>
      <c r="N82" s="9" t="s">
        <v>1235</v>
      </c>
      <c r="O82" s="9" t="s">
        <v>1236</v>
      </c>
      <c r="P82" s="9" t="s">
        <v>616</v>
      </c>
      <c r="Q82" s="9" t="s">
        <v>552</v>
      </c>
      <c r="R82" s="9" t="s">
        <v>551</v>
      </c>
      <c r="S82" s="9" t="s">
        <v>196</v>
      </c>
      <c r="T82" s="9" t="s">
        <v>616</v>
      </c>
      <c r="U82" s="9"/>
      <c r="V82" s="9"/>
      <c r="W82" s="9"/>
    </row>
    <row r="83" spans="1:23" ht="30" customHeight="1">
      <c r="A83" s="27" t="s">
        <v>694</v>
      </c>
      <c r="B83" s="9" t="s">
        <v>1237</v>
      </c>
      <c r="C83" s="9" t="s">
        <v>1153</v>
      </c>
      <c r="D83" s="9" t="s">
        <v>1154</v>
      </c>
      <c r="E83" s="9" t="s">
        <v>1238</v>
      </c>
      <c r="F83" s="9" t="s">
        <v>1156</v>
      </c>
      <c r="G83" s="9" t="s">
        <v>1199</v>
      </c>
      <c r="H83" s="9" t="s">
        <v>1239</v>
      </c>
      <c r="I83" s="9" t="s">
        <v>1240</v>
      </c>
      <c r="J83" s="9" t="s">
        <v>1241</v>
      </c>
      <c r="K83" s="9" t="s">
        <v>1161</v>
      </c>
      <c r="L83" s="9" t="s">
        <v>1242</v>
      </c>
      <c r="M83" s="9" t="s">
        <v>1243</v>
      </c>
      <c r="N83" s="9" t="s">
        <v>1244</v>
      </c>
      <c r="O83" s="9" t="s">
        <v>1220</v>
      </c>
      <c r="P83" s="9" t="s">
        <v>616</v>
      </c>
      <c r="Q83" s="9" t="s">
        <v>196</v>
      </c>
      <c r="R83" s="9" t="s">
        <v>1245</v>
      </c>
      <c r="S83" s="9" t="s">
        <v>196</v>
      </c>
      <c r="T83" s="9" t="s">
        <v>1246</v>
      </c>
      <c r="U83" s="9"/>
      <c r="V83" s="9"/>
      <c r="W83" s="9"/>
    </row>
    <row r="84" spans="1:23" ht="30" customHeight="1">
      <c r="A84" s="27" t="s">
        <v>694</v>
      </c>
      <c r="B84" s="9" t="s">
        <v>1247</v>
      </c>
      <c r="C84" s="9" t="s">
        <v>1153</v>
      </c>
      <c r="D84" s="9" t="s">
        <v>1154</v>
      </c>
      <c r="E84" s="9" t="s">
        <v>1248</v>
      </c>
      <c r="F84" s="9" t="s">
        <v>1156</v>
      </c>
      <c r="G84" s="9" t="s">
        <v>1249</v>
      </c>
      <c r="H84" s="9" t="s">
        <v>1250</v>
      </c>
      <c r="I84" s="9" t="s">
        <v>1251</v>
      </c>
      <c r="J84" s="9" t="s">
        <v>1217</v>
      </c>
      <c r="K84" s="9" t="s">
        <v>1161</v>
      </c>
      <c r="L84" s="9" t="s">
        <v>1252</v>
      </c>
      <c r="M84" s="9" t="s">
        <v>1253</v>
      </c>
      <c r="N84" s="9" t="s">
        <v>1254</v>
      </c>
      <c r="O84" s="9" t="s">
        <v>1182</v>
      </c>
      <c r="P84" s="9" t="s">
        <v>616</v>
      </c>
      <c r="Q84" s="9" t="s">
        <v>552</v>
      </c>
      <c r="R84" s="9" t="s">
        <v>1255</v>
      </c>
      <c r="S84" s="9" t="s">
        <v>552</v>
      </c>
      <c r="T84" s="9" t="s">
        <v>1256</v>
      </c>
      <c r="U84" s="9"/>
      <c r="V84" s="9"/>
      <c r="W84" s="9"/>
    </row>
    <row r="85" spans="1:23" ht="30" customHeight="1">
      <c r="A85" s="27" t="s">
        <v>694</v>
      </c>
      <c r="B85" s="9" t="s">
        <v>1257</v>
      </c>
      <c r="C85" s="9" t="s">
        <v>1153</v>
      </c>
      <c r="D85" s="9" t="s">
        <v>1154</v>
      </c>
      <c r="E85" s="9" t="s">
        <v>1258</v>
      </c>
      <c r="F85" s="9" t="s">
        <v>1156</v>
      </c>
      <c r="G85" s="9" t="s">
        <v>1259</v>
      </c>
      <c r="H85" s="9" t="s">
        <v>1260</v>
      </c>
      <c r="I85" s="9" t="s">
        <v>1261</v>
      </c>
      <c r="J85" s="9" t="s">
        <v>1262</v>
      </c>
      <c r="K85" s="9" t="s">
        <v>1161</v>
      </c>
      <c r="L85" s="9" t="s">
        <v>1263</v>
      </c>
      <c r="M85" s="9" t="s">
        <v>1259</v>
      </c>
      <c r="N85" s="9" t="s">
        <v>1264</v>
      </c>
      <c r="O85" s="9" t="s">
        <v>1182</v>
      </c>
      <c r="P85" s="9" t="s">
        <v>616</v>
      </c>
      <c r="Q85" s="9" t="s">
        <v>196</v>
      </c>
      <c r="R85" s="9" t="s">
        <v>1165</v>
      </c>
      <c r="S85" s="9" t="s">
        <v>552</v>
      </c>
      <c r="T85" s="9" t="s">
        <v>1265</v>
      </c>
      <c r="U85" s="9"/>
      <c r="V85" s="9"/>
      <c r="W85" s="9"/>
    </row>
    <row r="86" spans="1:23" ht="30" customHeight="1">
      <c r="A86" s="27" t="s">
        <v>694</v>
      </c>
      <c r="B86" s="9" t="s">
        <v>1266</v>
      </c>
      <c r="C86" s="9" t="s">
        <v>1153</v>
      </c>
      <c r="D86" s="9" t="s">
        <v>1154</v>
      </c>
      <c r="E86" s="9" t="s">
        <v>1267</v>
      </c>
      <c r="F86" s="9" t="s">
        <v>1156</v>
      </c>
      <c r="G86" s="9" t="s">
        <v>191</v>
      </c>
      <c r="H86" s="9" t="s">
        <v>1268</v>
      </c>
      <c r="I86" s="9" t="s">
        <v>1269</v>
      </c>
      <c r="J86" s="9" t="s">
        <v>1172</v>
      </c>
      <c r="K86" s="9" t="s">
        <v>1161</v>
      </c>
      <c r="L86" s="9" t="s">
        <v>1173</v>
      </c>
      <c r="M86" s="9" t="s">
        <v>629</v>
      </c>
      <c r="N86" s="9" t="s">
        <v>1270</v>
      </c>
      <c r="O86" s="9" t="s">
        <v>1182</v>
      </c>
      <c r="P86" s="9" t="s">
        <v>1271</v>
      </c>
      <c r="Q86" s="9" t="s">
        <v>552</v>
      </c>
      <c r="R86" s="9" t="s">
        <v>551</v>
      </c>
      <c r="S86" s="9" t="s">
        <v>552</v>
      </c>
      <c r="T86" s="9" t="s">
        <v>1272</v>
      </c>
      <c r="U86" s="9"/>
      <c r="V86" s="9"/>
      <c r="W86" s="9"/>
    </row>
    <row r="87" spans="1:23" ht="30" customHeight="1">
      <c r="A87" s="27" t="s">
        <v>694</v>
      </c>
      <c r="B87" s="9" t="s">
        <v>1273</v>
      </c>
      <c r="C87" s="9" t="s">
        <v>1153</v>
      </c>
      <c r="D87" s="9" t="s">
        <v>1154</v>
      </c>
      <c r="E87" s="9" t="s">
        <v>1274</v>
      </c>
      <c r="F87" s="9" t="s">
        <v>1156</v>
      </c>
      <c r="G87" s="9" t="s">
        <v>1275</v>
      </c>
      <c r="H87" s="9" t="s">
        <v>1276</v>
      </c>
      <c r="I87" s="9" t="s">
        <v>1277</v>
      </c>
      <c r="J87" s="9" t="s">
        <v>1278</v>
      </c>
      <c r="K87" s="9" t="s">
        <v>1161</v>
      </c>
      <c r="L87" s="9" t="s">
        <v>1173</v>
      </c>
      <c r="M87" s="9" t="s">
        <v>1279</v>
      </c>
      <c r="N87" s="9" t="s">
        <v>1280</v>
      </c>
      <c r="O87" s="9" t="s">
        <v>1039</v>
      </c>
      <c r="P87" s="9" t="s">
        <v>1281</v>
      </c>
      <c r="Q87" s="9" t="s">
        <v>552</v>
      </c>
      <c r="R87" s="9" t="s">
        <v>551</v>
      </c>
      <c r="S87" s="9" t="s">
        <v>552</v>
      </c>
      <c r="T87" s="9" t="s">
        <v>616</v>
      </c>
      <c r="U87" s="9"/>
      <c r="V87" s="9"/>
      <c r="W87" s="9"/>
    </row>
    <row r="88" spans="1:23" ht="30" customHeight="1">
      <c r="A88" s="27" t="s">
        <v>694</v>
      </c>
      <c r="B88" s="9" t="s">
        <v>1282</v>
      </c>
      <c r="C88" s="9" t="s">
        <v>1153</v>
      </c>
      <c r="D88" s="9" t="s">
        <v>1154</v>
      </c>
      <c r="E88" s="9" t="s">
        <v>1283</v>
      </c>
      <c r="F88" s="9" t="s">
        <v>1156</v>
      </c>
      <c r="G88" s="9" t="s">
        <v>209</v>
      </c>
      <c r="H88" s="9" t="s">
        <v>1284</v>
      </c>
      <c r="I88" s="9" t="s">
        <v>1285</v>
      </c>
      <c r="J88" s="9" t="s">
        <v>1172</v>
      </c>
      <c r="K88" s="9" t="s">
        <v>1161</v>
      </c>
      <c r="L88" s="9" t="s">
        <v>1173</v>
      </c>
      <c r="M88" s="9" t="s">
        <v>1286</v>
      </c>
      <c r="N88" s="9" t="s">
        <v>1287</v>
      </c>
      <c r="O88" s="9" t="s">
        <v>1182</v>
      </c>
      <c r="P88" s="9" t="s">
        <v>1288</v>
      </c>
      <c r="Q88" s="9" t="s">
        <v>196</v>
      </c>
      <c r="R88" s="9" t="s">
        <v>1289</v>
      </c>
      <c r="S88" s="9" t="s">
        <v>196</v>
      </c>
      <c r="T88" s="9" t="s">
        <v>1290</v>
      </c>
      <c r="U88" s="9"/>
      <c r="V88" s="9"/>
      <c r="W88" s="9"/>
    </row>
    <row r="89" spans="1:23" ht="30" customHeight="1">
      <c r="A89" s="27" t="s">
        <v>694</v>
      </c>
      <c r="B89" s="9" t="s">
        <v>1291</v>
      </c>
      <c r="C89" s="9" t="s">
        <v>1153</v>
      </c>
      <c r="D89" s="9" t="s">
        <v>1154</v>
      </c>
      <c r="E89" s="9" t="s">
        <v>1292</v>
      </c>
      <c r="F89" s="9" t="s">
        <v>1156</v>
      </c>
      <c r="G89" s="9" t="s">
        <v>1293</v>
      </c>
      <c r="H89" s="9" t="s">
        <v>1294</v>
      </c>
      <c r="I89" s="9" t="s">
        <v>1295</v>
      </c>
      <c r="J89" s="9" t="s">
        <v>1262</v>
      </c>
      <c r="K89" s="9" t="s">
        <v>1161</v>
      </c>
      <c r="L89" s="9" t="s">
        <v>1296</v>
      </c>
      <c r="M89" s="9" t="s">
        <v>1297</v>
      </c>
      <c r="N89" s="9" t="s">
        <v>1298</v>
      </c>
      <c r="O89" s="9" t="s">
        <v>1164</v>
      </c>
      <c r="P89" s="9" t="s">
        <v>616</v>
      </c>
      <c r="Q89" s="9" t="s">
        <v>214</v>
      </c>
      <c r="R89" s="9" t="s">
        <v>618</v>
      </c>
      <c r="S89" s="9" t="s">
        <v>552</v>
      </c>
      <c r="T89" s="9" t="s">
        <v>1299</v>
      </c>
      <c r="U89" s="9"/>
      <c r="V89" s="9"/>
      <c r="W89" s="9"/>
    </row>
    <row r="90" spans="1:23" ht="30" customHeight="1">
      <c r="A90" s="27" t="s">
        <v>694</v>
      </c>
      <c r="B90" s="9" t="s">
        <v>1300</v>
      </c>
      <c r="C90" s="9" t="s">
        <v>1153</v>
      </c>
      <c r="D90" s="9" t="s">
        <v>1154</v>
      </c>
      <c r="E90" s="9" t="s">
        <v>1301</v>
      </c>
      <c r="F90" s="9" t="s">
        <v>1156</v>
      </c>
      <c r="G90" s="9" t="s">
        <v>1302</v>
      </c>
      <c r="H90" s="9" t="s">
        <v>1303</v>
      </c>
      <c r="I90" s="9" t="s">
        <v>1304</v>
      </c>
      <c r="J90" s="9" t="s">
        <v>1172</v>
      </c>
      <c r="K90" s="9" t="s">
        <v>1161</v>
      </c>
      <c r="L90" s="9" t="s">
        <v>1173</v>
      </c>
      <c r="M90" s="9" t="s">
        <v>1305</v>
      </c>
      <c r="N90" s="9" t="s">
        <v>1306</v>
      </c>
      <c r="O90" s="9" t="s">
        <v>1182</v>
      </c>
      <c r="P90" s="9" t="s">
        <v>616</v>
      </c>
      <c r="Q90" s="9" t="s">
        <v>552</v>
      </c>
      <c r="R90" s="9" t="s">
        <v>551</v>
      </c>
      <c r="S90" s="9" t="s">
        <v>552</v>
      </c>
      <c r="T90" s="9" t="s">
        <v>616</v>
      </c>
      <c r="U90" s="9"/>
      <c r="V90" s="9"/>
      <c r="W90" s="9"/>
    </row>
    <row r="91" spans="1:23" ht="30" customHeight="1">
      <c r="A91" s="27" t="s">
        <v>694</v>
      </c>
      <c r="B91" s="9" t="s">
        <v>1307</v>
      </c>
      <c r="C91" s="9" t="s">
        <v>1153</v>
      </c>
      <c r="D91" s="9" t="s">
        <v>1154</v>
      </c>
      <c r="E91" s="9" t="s">
        <v>1308</v>
      </c>
      <c r="F91" s="9" t="s">
        <v>1156</v>
      </c>
      <c r="G91" s="9" t="s">
        <v>1309</v>
      </c>
      <c r="H91" s="9" t="s">
        <v>1310</v>
      </c>
      <c r="I91" s="9" t="s">
        <v>1311</v>
      </c>
      <c r="J91" s="9" t="s">
        <v>1172</v>
      </c>
      <c r="K91" s="9" t="s">
        <v>1161</v>
      </c>
      <c r="L91" s="9" t="s">
        <v>1173</v>
      </c>
      <c r="M91" s="9" t="s">
        <v>1312</v>
      </c>
      <c r="N91" s="9" t="s">
        <v>1313</v>
      </c>
      <c r="O91" s="9" t="s">
        <v>1039</v>
      </c>
      <c r="P91" s="9" t="s">
        <v>616</v>
      </c>
      <c r="Q91" s="9" t="s">
        <v>552</v>
      </c>
      <c r="R91" s="9" t="s">
        <v>551</v>
      </c>
      <c r="S91" s="9" t="s">
        <v>552</v>
      </c>
      <c r="T91" s="9" t="s">
        <v>1314</v>
      </c>
      <c r="U91" s="9"/>
      <c r="V91" s="9"/>
      <c r="W91" s="9"/>
    </row>
    <row r="92" spans="1:23" ht="30" customHeight="1">
      <c r="A92" s="27" t="s">
        <v>694</v>
      </c>
      <c r="B92" s="9" t="s">
        <v>1315</v>
      </c>
      <c r="C92" s="9" t="s">
        <v>1153</v>
      </c>
      <c r="D92" s="9" t="s">
        <v>1154</v>
      </c>
      <c r="E92" s="9" t="s">
        <v>1316</v>
      </c>
      <c r="F92" s="9" t="s">
        <v>1156</v>
      </c>
      <c r="G92" s="9" t="s">
        <v>1317</v>
      </c>
      <c r="H92" s="9" t="s">
        <v>1318</v>
      </c>
      <c r="I92" s="9" t="s">
        <v>1319</v>
      </c>
      <c r="J92" s="9" t="s">
        <v>1172</v>
      </c>
      <c r="K92" s="9" t="s">
        <v>1161</v>
      </c>
      <c r="L92" s="9" t="s">
        <v>1173</v>
      </c>
      <c r="M92" s="9" t="s">
        <v>1320</v>
      </c>
      <c r="N92" s="9" t="s">
        <v>1321</v>
      </c>
      <c r="O92" s="9" t="s">
        <v>1182</v>
      </c>
      <c r="P92" s="9" t="s">
        <v>616</v>
      </c>
      <c r="Q92" s="9" t="s">
        <v>552</v>
      </c>
      <c r="R92" s="9" t="s">
        <v>551</v>
      </c>
      <c r="S92" s="9" t="s">
        <v>552</v>
      </c>
      <c r="T92" s="9" t="s">
        <v>616</v>
      </c>
      <c r="U92" s="9"/>
      <c r="V92" s="9"/>
      <c r="W92" s="9"/>
    </row>
    <row r="93" spans="1:23" ht="30" customHeight="1">
      <c r="A93" s="27" t="s">
        <v>694</v>
      </c>
      <c r="B93" s="9" t="s">
        <v>1322</v>
      </c>
      <c r="C93" s="9" t="s">
        <v>1153</v>
      </c>
      <c r="D93" s="9" t="s">
        <v>1154</v>
      </c>
      <c r="E93" s="9" t="s">
        <v>1323</v>
      </c>
      <c r="F93" s="9" t="s">
        <v>1156</v>
      </c>
      <c r="G93" s="9" t="s">
        <v>1324</v>
      </c>
      <c r="H93" s="9" t="s">
        <v>1325</v>
      </c>
      <c r="I93" s="9" t="s">
        <v>1326</v>
      </c>
      <c r="J93" s="9" t="s">
        <v>1327</v>
      </c>
      <c r="K93" s="9" t="s">
        <v>1161</v>
      </c>
      <c r="L93" s="9" t="s">
        <v>1296</v>
      </c>
      <c r="M93" s="9" t="s">
        <v>1328</v>
      </c>
      <c r="N93" s="9" t="s">
        <v>744</v>
      </c>
      <c r="O93" s="9" t="s">
        <v>1039</v>
      </c>
      <c r="P93" s="9" t="s">
        <v>1329</v>
      </c>
      <c r="Q93" s="9" t="s">
        <v>196</v>
      </c>
      <c r="R93" s="9" t="s">
        <v>1221</v>
      </c>
      <c r="S93" s="9" t="s">
        <v>552</v>
      </c>
      <c r="T93" s="9" t="s">
        <v>1330</v>
      </c>
      <c r="U93" s="9"/>
      <c r="V93" s="9"/>
      <c r="W93" s="9"/>
    </row>
    <row r="94" spans="1:23" ht="30" customHeight="1">
      <c r="A94" s="27" t="s">
        <v>694</v>
      </c>
      <c r="B94" s="9" t="s">
        <v>1331</v>
      </c>
      <c r="C94" s="9" t="s">
        <v>1153</v>
      </c>
      <c r="D94" s="9" t="s">
        <v>1154</v>
      </c>
      <c r="E94" s="9" t="s">
        <v>1332</v>
      </c>
      <c r="F94" s="9" t="s">
        <v>1156</v>
      </c>
      <c r="G94" s="9" t="s">
        <v>1333</v>
      </c>
      <c r="H94" s="9" t="s">
        <v>1334</v>
      </c>
      <c r="I94" s="9" t="s">
        <v>1335</v>
      </c>
      <c r="J94" s="9" t="s">
        <v>1327</v>
      </c>
      <c r="K94" s="9" t="s">
        <v>1161</v>
      </c>
      <c r="L94" s="9" t="s">
        <v>1296</v>
      </c>
      <c r="M94" s="9" t="s">
        <v>1336</v>
      </c>
      <c r="N94" s="9" t="s">
        <v>1337</v>
      </c>
      <c r="O94" s="9" t="s">
        <v>1039</v>
      </c>
      <c r="P94" s="9" t="s">
        <v>616</v>
      </c>
      <c r="Q94" s="9" t="s">
        <v>196</v>
      </c>
      <c r="R94" s="9" t="s">
        <v>1221</v>
      </c>
      <c r="S94" s="9" t="s">
        <v>196</v>
      </c>
      <c r="T94" s="9" t="s">
        <v>1338</v>
      </c>
      <c r="U94" s="9"/>
      <c r="V94" s="9"/>
      <c r="W94" s="9"/>
    </row>
    <row r="95" spans="1:23" ht="30" customHeight="1">
      <c r="A95" s="27" t="s">
        <v>694</v>
      </c>
      <c r="B95" s="9" t="s">
        <v>1339</v>
      </c>
      <c r="C95" s="9" t="s">
        <v>1153</v>
      </c>
      <c r="D95" s="9" t="s">
        <v>1340</v>
      </c>
      <c r="E95" s="9" t="s">
        <v>1341</v>
      </c>
      <c r="F95" s="9" t="s">
        <v>1342</v>
      </c>
      <c r="G95" s="9" t="s">
        <v>1185</v>
      </c>
      <c r="H95" s="9" t="s">
        <v>1343</v>
      </c>
      <c r="I95" s="9" t="s">
        <v>1344</v>
      </c>
      <c r="J95" s="9" t="s">
        <v>1345</v>
      </c>
      <c r="K95" s="9" t="s">
        <v>1161</v>
      </c>
      <c r="L95" s="9" t="s">
        <v>1173</v>
      </c>
      <c r="M95" s="9" t="s">
        <v>1195</v>
      </c>
      <c r="N95" s="9" t="s">
        <v>1196</v>
      </c>
      <c r="O95" s="9" t="s">
        <v>1039</v>
      </c>
      <c r="P95" s="9" t="s">
        <v>1346</v>
      </c>
      <c r="Q95" s="9" t="s">
        <v>552</v>
      </c>
      <c r="R95" s="9" t="s">
        <v>551</v>
      </c>
      <c r="S95" s="9" t="s">
        <v>552</v>
      </c>
      <c r="T95" s="9" t="s">
        <v>1347</v>
      </c>
      <c r="U95" s="9"/>
      <c r="V95" s="9"/>
      <c r="W95" s="9"/>
    </row>
    <row r="96" spans="1:23" ht="30" customHeight="1">
      <c r="A96" s="27" t="s">
        <v>694</v>
      </c>
      <c r="B96" s="9" t="s">
        <v>1348</v>
      </c>
      <c r="C96" s="9" t="s">
        <v>1153</v>
      </c>
      <c r="D96" s="9" t="s">
        <v>1340</v>
      </c>
      <c r="E96" s="9" t="s">
        <v>1349</v>
      </c>
      <c r="F96" s="9" t="s">
        <v>1342</v>
      </c>
      <c r="G96" s="9" t="s">
        <v>191</v>
      </c>
      <c r="H96" s="9" t="s">
        <v>1350</v>
      </c>
      <c r="I96" s="9" t="s">
        <v>1351</v>
      </c>
      <c r="J96" s="9" t="s">
        <v>1278</v>
      </c>
      <c r="K96" s="9" t="s">
        <v>1161</v>
      </c>
      <c r="L96" s="9" t="s">
        <v>1173</v>
      </c>
      <c r="M96" s="9" t="s">
        <v>1352</v>
      </c>
      <c r="N96" s="9" t="s">
        <v>1353</v>
      </c>
      <c r="O96" s="9" t="s">
        <v>1039</v>
      </c>
      <c r="P96" s="9" t="s">
        <v>1354</v>
      </c>
      <c r="Q96" s="9" t="s">
        <v>552</v>
      </c>
      <c r="R96" s="9" t="s">
        <v>551</v>
      </c>
      <c r="S96" s="9" t="s">
        <v>552</v>
      </c>
      <c r="T96" s="9" t="s">
        <v>1355</v>
      </c>
      <c r="U96" s="9"/>
      <c r="V96" s="9"/>
      <c r="W96" s="9"/>
    </row>
    <row r="97" spans="1:23" ht="30" customHeight="1">
      <c r="A97" s="27" t="s">
        <v>694</v>
      </c>
      <c r="B97" s="9" t="s">
        <v>1356</v>
      </c>
      <c r="C97" s="9" t="s">
        <v>1153</v>
      </c>
      <c r="D97" s="9" t="s">
        <v>1340</v>
      </c>
      <c r="E97" s="9" t="s">
        <v>1357</v>
      </c>
      <c r="F97" s="9" t="s">
        <v>1342</v>
      </c>
      <c r="G97" s="9" t="s">
        <v>1358</v>
      </c>
      <c r="H97" s="9" t="s">
        <v>1359</v>
      </c>
      <c r="I97" s="9" t="s">
        <v>1360</v>
      </c>
      <c r="J97" s="9" t="s">
        <v>1327</v>
      </c>
      <c r="K97" s="9" t="s">
        <v>1161</v>
      </c>
      <c r="L97" s="9" t="s">
        <v>1296</v>
      </c>
      <c r="M97" s="9" t="s">
        <v>679</v>
      </c>
      <c r="N97" s="9" t="s">
        <v>680</v>
      </c>
      <c r="O97" s="9" t="s">
        <v>1039</v>
      </c>
      <c r="P97" s="9" t="s">
        <v>1361</v>
      </c>
      <c r="Q97" s="9" t="s">
        <v>196</v>
      </c>
      <c r="R97" s="9" t="s">
        <v>1221</v>
      </c>
      <c r="S97" s="9" t="s">
        <v>552</v>
      </c>
      <c r="T97" s="9" t="s">
        <v>1330</v>
      </c>
      <c r="U97" s="9"/>
      <c r="V97" s="9"/>
      <c r="W97" s="9"/>
    </row>
    <row r="98" spans="1:23" ht="30" customHeight="1">
      <c r="A98" s="27" t="s">
        <v>694</v>
      </c>
      <c r="B98" s="9" t="s">
        <v>1362</v>
      </c>
      <c r="C98" s="9" t="s">
        <v>1153</v>
      </c>
      <c r="D98" s="9" t="s">
        <v>1363</v>
      </c>
      <c r="E98" s="9" t="s">
        <v>1364</v>
      </c>
      <c r="F98" s="9" t="s">
        <v>1365</v>
      </c>
      <c r="G98" s="9" t="s">
        <v>1185</v>
      </c>
      <c r="H98" s="9" t="s">
        <v>1366</v>
      </c>
      <c r="I98" s="9" t="s">
        <v>1367</v>
      </c>
      <c r="J98" s="9" t="s">
        <v>1368</v>
      </c>
      <c r="K98" s="9" t="s">
        <v>1161</v>
      </c>
      <c r="L98" s="9" t="s">
        <v>1173</v>
      </c>
      <c r="M98" s="9" t="s">
        <v>616</v>
      </c>
      <c r="N98" s="9" t="s">
        <v>616</v>
      </c>
      <c r="O98" s="9" t="s">
        <v>1039</v>
      </c>
      <c r="P98" s="9" t="s">
        <v>616</v>
      </c>
      <c r="Q98" s="9" t="s">
        <v>196</v>
      </c>
      <c r="R98" s="9" t="s">
        <v>1365</v>
      </c>
      <c r="S98" s="9" t="s">
        <v>552</v>
      </c>
      <c r="T98" s="9" t="s">
        <v>1369</v>
      </c>
      <c r="U98" s="9"/>
      <c r="V98" s="9"/>
      <c r="W98" s="9"/>
    </row>
    <row r="99" spans="1:23" ht="30" customHeight="1">
      <c r="A99" s="27" t="s">
        <v>694</v>
      </c>
      <c r="B99" s="9" t="s">
        <v>1370</v>
      </c>
      <c r="C99" s="9" t="s">
        <v>1153</v>
      </c>
      <c r="D99" s="9" t="s">
        <v>1363</v>
      </c>
      <c r="E99" s="9" t="s">
        <v>1371</v>
      </c>
      <c r="F99" s="9" t="s">
        <v>1365</v>
      </c>
      <c r="G99" s="9" t="s">
        <v>191</v>
      </c>
      <c r="H99" s="9" t="s">
        <v>1372</v>
      </c>
      <c r="I99" s="9" t="s">
        <v>1373</v>
      </c>
      <c r="J99" s="9" t="s">
        <v>1368</v>
      </c>
      <c r="K99" s="9" t="s">
        <v>1161</v>
      </c>
      <c r="L99" s="9" t="s">
        <v>1173</v>
      </c>
      <c r="M99" s="9" t="s">
        <v>616</v>
      </c>
      <c r="N99" s="9" t="s">
        <v>616</v>
      </c>
      <c r="O99" s="9" t="s">
        <v>1039</v>
      </c>
      <c r="P99" s="9" t="s">
        <v>616</v>
      </c>
      <c r="Q99" s="9" t="s">
        <v>196</v>
      </c>
      <c r="R99" s="9" t="s">
        <v>1365</v>
      </c>
      <c r="S99" s="9" t="s">
        <v>552</v>
      </c>
      <c r="T99" s="9" t="s">
        <v>1369</v>
      </c>
      <c r="U99" s="9"/>
      <c r="V99" s="9"/>
      <c r="W99" s="9"/>
    </row>
    <row r="100" spans="1:23" ht="30" customHeight="1">
      <c r="A100" s="27" t="s">
        <v>694</v>
      </c>
      <c r="B100" s="9" t="s">
        <v>1374</v>
      </c>
      <c r="C100" s="9" t="s">
        <v>1153</v>
      </c>
      <c r="D100" s="9" t="s">
        <v>1375</v>
      </c>
      <c r="E100" s="9" t="s">
        <v>1376</v>
      </c>
      <c r="F100" s="9" t="s">
        <v>1377</v>
      </c>
      <c r="G100" s="9" t="s">
        <v>1169</v>
      </c>
      <c r="H100" s="9" t="s">
        <v>1378</v>
      </c>
      <c r="I100" s="9" t="s">
        <v>1379</v>
      </c>
      <c r="J100" s="9" t="s">
        <v>616</v>
      </c>
      <c r="K100" s="9" t="s">
        <v>1161</v>
      </c>
      <c r="L100" s="9" t="s">
        <v>1173</v>
      </c>
      <c r="M100" s="9" t="s">
        <v>1380</v>
      </c>
      <c r="N100" s="9" t="s">
        <v>1381</v>
      </c>
      <c r="O100" s="9" t="s">
        <v>1039</v>
      </c>
      <c r="P100" s="9" t="s">
        <v>616</v>
      </c>
      <c r="Q100" s="9" t="s">
        <v>552</v>
      </c>
      <c r="R100" s="9" t="s">
        <v>1382</v>
      </c>
      <c r="S100" s="9" t="s">
        <v>552</v>
      </c>
      <c r="T100" s="9" t="s">
        <v>1383</v>
      </c>
      <c r="U100" s="9"/>
      <c r="V100" s="9"/>
      <c r="W100" s="9"/>
    </row>
    <row r="101" spans="1:23" ht="30" customHeight="1">
      <c r="A101" s="27" t="s">
        <v>694</v>
      </c>
      <c r="B101" s="9" t="s">
        <v>1384</v>
      </c>
      <c r="C101" s="9" t="s">
        <v>1153</v>
      </c>
      <c r="D101" s="9" t="s">
        <v>1375</v>
      </c>
      <c r="E101" s="9" t="s">
        <v>1385</v>
      </c>
      <c r="F101" s="9" t="s">
        <v>1377</v>
      </c>
      <c r="G101" s="9" t="s">
        <v>1185</v>
      </c>
      <c r="H101" s="9" t="s">
        <v>1386</v>
      </c>
      <c r="I101" s="9" t="s">
        <v>1387</v>
      </c>
      <c r="J101" s="9" t="s">
        <v>616</v>
      </c>
      <c r="K101" s="9" t="s">
        <v>1161</v>
      </c>
      <c r="L101" s="9" t="s">
        <v>1173</v>
      </c>
      <c r="M101" s="9" t="s">
        <v>1388</v>
      </c>
      <c r="N101" s="9" t="s">
        <v>1211</v>
      </c>
      <c r="O101" s="9" t="s">
        <v>1039</v>
      </c>
      <c r="P101" s="9" t="s">
        <v>616</v>
      </c>
      <c r="Q101" s="9" t="s">
        <v>552</v>
      </c>
      <c r="R101" s="9" t="s">
        <v>1382</v>
      </c>
      <c r="S101" s="9" t="s">
        <v>552</v>
      </c>
      <c r="T101" s="9" t="s">
        <v>1383</v>
      </c>
      <c r="U101" s="9"/>
      <c r="V101" s="9"/>
      <c r="W101" s="9"/>
    </row>
    <row r="102" spans="1:23" ht="30" customHeight="1">
      <c r="A102" s="27" t="s">
        <v>694</v>
      </c>
      <c r="B102" s="9" t="s">
        <v>1389</v>
      </c>
      <c r="C102" s="9" t="s">
        <v>1153</v>
      </c>
      <c r="D102" s="9" t="s">
        <v>1390</v>
      </c>
      <c r="E102" s="9" t="s">
        <v>1391</v>
      </c>
      <c r="F102" s="9" t="s">
        <v>99</v>
      </c>
      <c r="G102" s="9" t="s">
        <v>588</v>
      </c>
      <c r="H102" s="9" t="s">
        <v>1392</v>
      </c>
      <c r="I102" s="9" t="s">
        <v>1393</v>
      </c>
      <c r="J102" s="9" t="s">
        <v>1368</v>
      </c>
      <c r="K102" s="9" t="s">
        <v>1161</v>
      </c>
      <c r="L102" s="9" t="s">
        <v>1173</v>
      </c>
      <c r="M102" s="9" t="s">
        <v>616</v>
      </c>
      <c r="N102" s="9" t="s">
        <v>616</v>
      </c>
      <c r="O102" s="9" t="s">
        <v>1039</v>
      </c>
      <c r="P102" s="9" t="s">
        <v>616</v>
      </c>
      <c r="Q102" s="9" t="s">
        <v>552</v>
      </c>
      <c r="R102" s="9" t="s">
        <v>1394</v>
      </c>
      <c r="S102" s="9" t="s">
        <v>552</v>
      </c>
      <c r="T102" s="9" t="s">
        <v>1395</v>
      </c>
      <c r="U102" s="9"/>
      <c r="V102" s="9"/>
      <c r="W102" s="9"/>
    </row>
    <row r="103" spans="1:23" ht="30" customHeight="1">
      <c r="A103" s="27" t="s">
        <v>694</v>
      </c>
      <c r="B103" s="9" t="s">
        <v>1396</v>
      </c>
      <c r="C103" s="9" t="s">
        <v>1153</v>
      </c>
      <c r="D103" s="9" t="s">
        <v>1390</v>
      </c>
      <c r="E103" s="9" t="s">
        <v>554</v>
      </c>
      <c r="F103" s="9" t="s">
        <v>99</v>
      </c>
      <c r="G103" s="9" t="s">
        <v>1397</v>
      </c>
      <c r="H103" s="9" t="s">
        <v>1398</v>
      </c>
      <c r="I103" s="9" t="s">
        <v>1399</v>
      </c>
      <c r="J103" s="9" t="s">
        <v>1368</v>
      </c>
      <c r="K103" s="9" t="s">
        <v>1161</v>
      </c>
      <c r="L103" s="9" t="s">
        <v>1173</v>
      </c>
      <c r="M103" s="9" t="s">
        <v>616</v>
      </c>
      <c r="N103" s="9" t="s">
        <v>616</v>
      </c>
      <c r="O103" s="9" t="s">
        <v>1039</v>
      </c>
      <c r="P103" s="9" t="s">
        <v>616</v>
      </c>
      <c r="Q103" s="9" t="s">
        <v>552</v>
      </c>
      <c r="R103" s="9" t="s">
        <v>1394</v>
      </c>
      <c r="S103" s="9" t="s">
        <v>552</v>
      </c>
      <c r="T103" s="9" t="s">
        <v>1400</v>
      </c>
      <c r="U103" s="9"/>
      <c r="V103" s="9"/>
      <c r="W103" s="9"/>
    </row>
    <row r="104" spans="1:23" ht="30" customHeight="1">
      <c r="A104" s="27" t="s">
        <v>694</v>
      </c>
      <c r="B104" s="9" t="s">
        <v>1401</v>
      </c>
      <c r="C104" s="9" t="s">
        <v>1153</v>
      </c>
      <c r="D104" s="9" t="s">
        <v>1390</v>
      </c>
      <c r="E104" s="9" t="s">
        <v>1402</v>
      </c>
      <c r="F104" s="9" t="s">
        <v>99</v>
      </c>
      <c r="G104" s="9" t="s">
        <v>1358</v>
      </c>
      <c r="H104" s="9" t="s">
        <v>1403</v>
      </c>
      <c r="I104" s="9" t="s">
        <v>1404</v>
      </c>
      <c r="J104" s="9" t="s">
        <v>1368</v>
      </c>
      <c r="K104" s="9" t="s">
        <v>1161</v>
      </c>
      <c r="L104" s="9" t="s">
        <v>1296</v>
      </c>
      <c r="M104" s="9" t="s">
        <v>616</v>
      </c>
      <c r="N104" s="9" t="s">
        <v>616</v>
      </c>
      <c r="O104" s="9" t="s">
        <v>1039</v>
      </c>
      <c r="P104" s="9" t="s">
        <v>616</v>
      </c>
      <c r="Q104" s="9" t="s">
        <v>196</v>
      </c>
      <c r="R104" s="9" t="s">
        <v>1394</v>
      </c>
      <c r="S104" s="9" t="s">
        <v>552</v>
      </c>
      <c r="T104" s="9" t="s">
        <v>1405</v>
      </c>
      <c r="U104" s="9"/>
      <c r="V104" s="9"/>
      <c r="W104" s="9"/>
    </row>
    <row r="105" spans="1:23" ht="30" customHeight="1">
      <c r="A105" s="27" t="s">
        <v>694</v>
      </c>
      <c r="B105" s="9" t="s">
        <v>1406</v>
      </c>
      <c r="C105" s="9" t="s">
        <v>1153</v>
      </c>
      <c r="D105" s="9" t="s">
        <v>1390</v>
      </c>
      <c r="E105" s="9" t="s">
        <v>1407</v>
      </c>
      <c r="F105" s="9" t="s">
        <v>99</v>
      </c>
      <c r="G105" s="9" t="s">
        <v>1408</v>
      </c>
      <c r="H105" s="9" t="s">
        <v>1409</v>
      </c>
      <c r="I105" s="9" t="s">
        <v>1410</v>
      </c>
      <c r="J105" s="9" t="s">
        <v>1368</v>
      </c>
      <c r="K105" s="9" t="s">
        <v>1161</v>
      </c>
      <c r="L105" s="9" t="s">
        <v>1173</v>
      </c>
      <c r="M105" s="9" t="s">
        <v>616</v>
      </c>
      <c r="N105" s="9" t="s">
        <v>616</v>
      </c>
      <c r="O105" s="9" t="s">
        <v>1182</v>
      </c>
      <c r="P105" s="9" t="s">
        <v>616</v>
      </c>
      <c r="Q105" s="9" t="s">
        <v>196</v>
      </c>
      <c r="R105" s="9" t="s">
        <v>1394</v>
      </c>
      <c r="S105" s="9" t="s">
        <v>196</v>
      </c>
      <c r="T105" s="9" t="s">
        <v>1411</v>
      </c>
      <c r="U105" s="9"/>
      <c r="V105" s="9"/>
      <c r="W105" s="9"/>
    </row>
    <row r="107" spans="1:23">
      <c r="A107" s="35" t="s">
        <v>1412</v>
      </c>
    </row>
    <row r="108" spans="1:23">
      <c r="A108" t="s">
        <v>1413</v>
      </c>
      <c r="B108" t="s">
        <v>1414</v>
      </c>
      <c r="C108" t="s">
        <v>243</v>
      </c>
      <c r="D108" t="s">
        <v>1415</v>
      </c>
      <c r="E108" t="s">
        <v>1414</v>
      </c>
      <c r="F108" t="s">
        <v>543</v>
      </c>
      <c r="G108" t="s">
        <v>1416</v>
      </c>
      <c r="H108" t="s">
        <v>1417</v>
      </c>
      <c r="I108" t="s">
        <v>1418</v>
      </c>
      <c r="J108" t="s">
        <v>485</v>
      </c>
      <c r="K108" t="s">
        <v>243</v>
      </c>
      <c r="L108" t="s">
        <v>1419</v>
      </c>
      <c r="M108" t="s">
        <v>29</v>
      </c>
      <c r="N108" t="s">
        <v>1420</v>
      </c>
      <c r="O108" t="s">
        <v>1421</v>
      </c>
      <c r="P108">
        <v>452</v>
      </c>
      <c r="Q108" t="s">
        <v>552</v>
      </c>
      <c r="R108" t="s">
        <v>551</v>
      </c>
      <c r="S108" t="s">
        <v>552</v>
      </c>
      <c r="T108" t="s">
        <v>1422</v>
      </c>
      <c r="U108" t="s">
        <v>554</v>
      </c>
      <c r="W108" t="s">
        <v>489</v>
      </c>
    </row>
    <row r="109" spans="1:23">
      <c r="A109" t="s">
        <v>1413</v>
      </c>
      <c r="B109" t="s">
        <v>1423</v>
      </c>
      <c r="C109" t="s">
        <v>243</v>
      </c>
      <c r="D109" t="s">
        <v>1415</v>
      </c>
      <c r="E109" t="s">
        <v>1423</v>
      </c>
      <c r="F109" t="s">
        <v>543</v>
      </c>
      <c r="G109" t="s">
        <v>1424</v>
      </c>
      <c r="H109" t="s">
        <v>1425</v>
      </c>
      <c r="I109" t="s">
        <v>1426</v>
      </c>
      <c r="J109" t="s">
        <v>485</v>
      </c>
      <c r="K109" t="s">
        <v>243</v>
      </c>
      <c r="L109" t="s">
        <v>490</v>
      </c>
      <c r="M109" t="s">
        <v>31</v>
      </c>
      <c r="N109" t="s">
        <v>1427</v>
      </c>
      <c r="O109" t="s">
        <v>1428</v>
      </c>
      <c r="P109">
        <v>452</v>
      </c>
      <c r="Q109" t="s">
        <v>552</v>
      </c>
      <c r="R109" t="s">
        <v>551</v>
      </c>
      <c r="S109" t="s">
        <v>552</v>
      </c>
      <c r="U109" t="s">
        <v>554</v>
      </c>
      <c r="W109" t="s">
        <v>489</v>
      </c>
    </row>
    <row r="110" spans="1:23">
      <c r="A110" t="s">
        <v>1413</v>
      </c>
      <c r="B110" t="s">
        <v>1429</v>
      </c>
      <c r="C110" t="s">
        <v>498</v>
      </c>
      <c r="D110" t="s">
        <v>1415</v>
      </c>
      <c r="E110" t="s">
        <v>1429</v>
      </c>
      <c r="F110" t="s">
        <v>543</v>
      </c>
      <c r="G110" t="s">
        <v>1430</v>
      </c>
      <c r="H110" t="s">
        <v>1431</v>
      </c>
      <c r="I110" t="s">
        <v>1432</v>
      </c>
      <c r="J110" t="s">
        <v>500</v>
      </c>
      <c r="K110" t="s">
        <v>498</v>
      </c>
      <c r="L110" t="s">
        <v>1433</v>
      </c>
      <c r="M110" t="s">
        <v>501</v>
      </c>
      <c r="N110" t="s">
        <v>1434</v>
      </c>
      <c r="O110" t="s">
        <v>1435</v>
      </c>
      <c r="P110">
        <v>178</v>
      </c>
      <c r="Q110" t="s">
        <v>552</v>
      </c>
      <c r="R110" t="s">
        <v>551</v>
      </c>
      <c r="S110" t="s">
        <v>552</v>
      </c>
      <c r="T110" t="s">
        <v>1436</v>
      </c>
      <c r="U110" t="s">
        <v>1437</v>
      </c>
      <c r="W110" t="s">
        <v>502</v>
      </c>
    </row>
    <row r="111" spans="1:23">
      <c r="A111" t="s">
        <v>1413</v>
      </c>
      <c r="B111" t="s">
        <v>1438</v>
      </c>
      <c r="C111" t="s">
        <v>498</v>
      </c>
      <c r="D111" t="s">
        <v>1415</v>
      </c>
      <c r="E111" t="s">
        <v>1438</v>
      </c>
      <c r="F111" t="s">
        <v>543</v>
      </c>
      <c r="G111" t="s">
        <v>1439</v>
      </c>
      <c r="H111" t="s">
        <v>1440</v>
      </c>
      <c r="I111" t="s">
        <v>1441</v>
      </c>
      <c r="J111" t="s">
        <v>505</v>
      </c>
      <c r="K111" t="s">
        <v>498</v>
      </c>
      <c r="L111" t="s">
        <v>1433</v>
      </c>
      <c r="M111" t="s">
        <v>1442</v>
      </c>
      <c r="N111" t="s">
        <v>1443</v>
      </c>
      <c r="O111" t="s">
        <v>1444</v>
      </c>
      <c r="P111">
        <v>42</v>
      </c>
      <c r="Q111" t="s">
        <v>552</v>
      </c>
      <c r="R111" t="s">
        <v>551</v>
      </c>
      <c r="S111" t="s">
        <v>552</v>
      </c>
      <c r="T111" t="s">
        <v>1445</v>
      </c>
      <c r="U111" t="s">
        <v>1437</v>
      </c>
      <c r="W111" t="s">
        <v>502</v>
      </c>
    </row>
    <row r="112" spans="1:23">
      <c r="A112" t="s">
        <v>1413</v>
      </c>
      <c r="B112" t="s">
        <v>1446</v>
      </c>
      <c r="C112" t="s">
        <v>498</v>
      </c>
      <c r="D112" t="s">
        <v>1415</v>
      </c>
      <c r="E112" t="s">
        <v>1446</v>
      </c>
      <c r="F112" t="s">
        <v>543</v>
      </c>
      <c r="G112" t="s">
        <v>1447</v>
      </c>
      <c r="H112" t="s">
        <v>1448</v>
      </c>
      <c r="I112" t="s">
        <v>1449</v>
      </c>
      <c r="J112" t="s">
        <v>510</v>
      </c>
      <c r="K112" t="s">
        <v>498</v>
      </c>
      <c r="L112" t="s">
        <v>1433</v>
      </c>
      <c r="M112" t="s">
        <v>1450</v>
      </c>
      <c r="N112" t="s">
        <v>1451</v>
      </c>
      <c r="O112" t="s">
        <v>1452</v>
      </c>
      <c r="P112">
        <v>42</v>
      </c>
      <c r="Q112" t="s">
        <v>552</v>
      </c>
      <c r="R112" t="s">
        <v>551</v>
      </c>
      <c r="S112" t="s">
        <v>552</v>
      </c>
      <c r="T112" t="s">
        <v>1453</v>
      </c>
      <c r="U112" t="s">
        <v>1437</v>
      </c>
      <c r="W112" t="s">
        <v>502</v>
      </c>
    </row>
    <row r="113" spans="1:23">
      <c r="A113" t="s">
        <v>1413</v>
      </c>
      <c r="B113" t="s">
        <v>1454</v>
      </c>
      <c r="C113" t="s">
        <v>498</v>
      </c>
      <c r="D113" t="s">
        <v>1415</v>
      </c>
      <c r="E113" t="s">
        <v>1454</v>
      </c>
      <c r="F113" t="s">
        <v>543</v>
      </c>
      <c r="G113" t="s">
        <v>1455</v>
      </c>
      <c r="H113" t="s">
        <v>1456</v>
      </c>
      <c r="I113" t="s">
        <v>1457</v>
      </c>
      <c r="J113" t="s">
        <v>508</v>
      </c>
      <c r="K113" t="s">
        <v>498</v>
      </c>
      <c r="L113" t="s">
        <v>1433</v>
      </c>
      <c r="M113" t="s">
        <v>1458</v>
      </c>
      <c r="N113" t="s">
        <v>1459</v>
      </c>
      <c r="O113" t="s">
        <v>1444</v>
      </c>
      <c r="P113">
        <v>42</v>
      </c>
      <c r="Q113" t="s">
        <v>552</v>
      </c>
      <c r="R113" t="s">
        <v>551</v>
      </c>
      <c r="S113" t="s">
        <v>196</v>
      </c>
      <c r="T113" t="s">
        <v>1460</v>
      </c>
      <c r="U113" t="s">
        <v>1437</v>
      </c>
      <c r="W113" t="s">
        <v>502</v>
      </c>
    </row>
    <row r="114" spans="1:23">
      <c r="A114" t="s">
        <v>1413</v>
      </c>
      <c r="B114" t="s">
        <v>1461</v>
      </c>
      <c r="C114" t="s">
        <v>519</v>
      </c>
      <c r="D114" t="s">
        <v>1415</v>
      </c>
      <c r="E114" t="s">
        <v>1461</v>
      </c>
      <c r="F114" t="s">
        <v>543</v>
      </c>
      <c r="G114" t="s">
        <v>1462</v>
      </c>
      <c r="H114" t="s">
        <v>1463</v>
      </c>
      <c r="I114" t="s">
        <v>1464</v>
      </c>
      <c r="J114" t="s">
        <v>516</v>
      </c>
      <c r="K114" t="s">
        <v>519</v>
      </c>
      <c r="L114" t="s">
        <v>339</v>
      </c>
      <c r="M114" t="s">
        <v>744</v>
      </c>
      <c r="O114" t="s">
        <v>1465</v>
      </c>
      <c r="P114">
        <v>16</v>
      </c>
      <c r="Q114" t="s">
        <v>196</v>
      </c>
      <c r="R114" t="s">
        <v>215</v>
      </c>
      <c r="S114" t="s">
        <v>196</v>
      </c>
      <c r="T114" t="s">
        <v>1466</v>
      </c>
      <c r="U114" t="s">
        <v>554</v>
      </c>
      <c r="W114" t="s">
        <v>497</v>
      </c>
    </row>
    <row r="115" spans="1:23">
      <c r="A115" t="s">
        <v>1413</v>
      </c>
      <c r="B115" t="s">
        <v>1467</v>
      </c>
      <c r="C115" t="s">
        <v>1468</v>
      </c>
      <c r="D115" t="s">
        <v>200</v>
      </c>
      <c r="E115" t="s">
        <v>1467</v>
      </c>
      <c r="F115" t="s">
        <v>543</v>
      </c>
      <c r="G115" t="s">
        <v>1469</v>
      </c>
      <c r="H115" t="s">
        <v>1470</v>
      </c>
      <c r="I115" t="s">
        <v>1471</v>
      </c>
      <c r="J115" t="s">
        <v>485</v>
      </c>
      <c r="K115" t="s">
        <v>243</v>
      </c>
      <c r="L115" t="s">
        <v>1472</v>
      </c>
      <c r="M115" t="s">
        <v>1473</v>
      </c>
      <c r="N115" t="s">
        <v>1474</v>
      </c>
      <c r="O115" t="s">
        <v>1475</v>
      </c>
      <c r="P115" t="s">
        <v>1476</v>
      </c>
      <c r="Q115" t="s">
        <v>552</v>
      </c>
      <c r="R115" t="s">
        <v>551</v>
      </c>
      <c r="S115" t="s">
        <v>196</v>
      </c>
      <c r="T115" t="s">
        <v>1477</v>
      </c>
      <c r="U115" t="s">
        <v>554</v>
      </c>
      <c r="W115" t="s">
        <v>1478</v>
      </c>
    </row>
    <row r="116" spans="1:23">
      <c r="A116" t="s">
        <v>1413</v>
      </c>
      <c r="B116" t="s">
        <v>1479</v>
      </c>
      <c r="C116" t="s">
        <v>1468</v>
      </c>
      <c r="D116" t="s">
        <v>200</v>
      </c>
      <c r="E116" t="s">
        <v>1479</v>
      </c>
      <c r="F116" t="s">
        <v>543</v>
      </c>
      <c r="G116" t="s">
        <v>1469</v>
      </c>
      <c r="H116" t="s">
        <v>1480</v>
      </c>
      <c r="I116" t="s">
        <v>1481</v>
      </c>
      <c r="J116" t="s">
        <v>485</v>
      </c>
      <c r="K116" t="s">
        <v>243</v>
      </c>
      <c r="L116" t="s">
        <v>796</v>
      </c>
      <c r="M116" t="s">
        <v>1473</v>
      </c>
      <c r="N116" t="s">
        <v>1482</v>
      </c>
      <c r="O116" t="s">
        <v>1475</v>
      </c>
      <c r="P116" t="s">
        <v>1483</v>
      </c>
      <c r="Q116" t="s">
        <v>552</v>
      </c>
      <c r="R116" t="s">
        <v>551</v>
      </c>
      <c r="S116" t="s">
        <v>196</v>
      </c>
      <c r="T116" t="s">
        <v>1477</v>
      </c>
      <c r="U116" t="s">
        <v>554</v>
      </c>
      <c r="W116" t="s">
        <v>1478</v>
      </c>
    </row>
    <row r="117" spans="1:23">
      <c r="A117" t="s">
        <v>1413</v>
      </c>
      <c r="B117" t="s">
        <v>1484</v>
      </c>
      <c r="C117" t="s">
        <v>1468</v>
      </c>
      <c r="D117" t="s">
        <v>200</v>
      </c>
      <c r="E117" t="s">
        <v>1484</v>
      </c>
      <c r="F117" t="s">
        <v>543</v>
      </c>
      <c r="G117" t="s">
        <v>1469</v>
      </c>
      <c r="H117" t="s">
        <v>1485</v>
      </c>
      <c r="I117" t="s">
        <v>1486</v>
      </c>
      <c r="J117" t="s">
        <v>485</v>
      </c>
      <c r="K117" t="s">
        <v>243</v>
      </c>
      <c r="L117" t="s">
        <v>845</v>
      </c>
      <c r="M117" t="s">
        <v>1473</v>
      </c>
      <c r="N117" t="s">
        <v>1487</v>
      </c>
      <c r="O117" t="s">
        <v>1475</v>
      </c>
      <c r="P117" t="s">
        <v>1488</v>
      </c>
      <c r="Q117" t="s">
        <v>552</v>
      </c>
      <c r="R117" t="s">
        <v>551</v>
      </c>
      <c r="S117" t="s">
        <v>196</v>
      </c>
      <c r="T117" t="s">
        <v>1477</v>
      </c>
      <c r="U117" t="s">
        <v>554</v>
      </c>
      <c r="W117" t="s">
        <v>1478</v>
      </c>
    </row>
    <row r="118" spans="1:23">
      <c r="A118" t="s">
        <v>1413</v>
      </c>
      <c r="B118" t="s">
        <v>1489</v>
      </c>
      <c r="C118" t="s">
        <v>1468</v>
      </c>
      <c r="D118" t="s">
        <v>200</v>
      </c>
      <c r="E118" t="s">
        <v>1489</v>
      </c>
      <c r="F118" t="s">
        <v>543</v>
      </c>
      <c r="G118" t="s">
        <v>1469</v>
      </c>
      <c r="H118" t="s">
        <v>1490</v>
      </c>
      <c r="I118" t="s">
        <v>1491</v>
      </c>
      <c r="J118" t="s">
        <v>485</v>
      </c>
      <c r="K118" t="s">
        <v>243</v>
      </c>
      <c r="L118" t="s">
        <v>955</v>
      </c>
      <c r="M118" t="s">
        <v>1473</v>
      </c>
      <c r="N118" t="s">
        <v>1492</v>
      </c>
      <c r="O118" t="s">
        <v>1475</v>
      </c>
      <c r="P118" t="s">
        <v>1493</v>
      </c>
      <c r="Q118" t="s">
        <v>552</v>
      </c>
      <c r="R118" t="s">
        <v>551</v>
      </c>
      <c r="S118" t="s">
        <v>196</v>
      </c>
      <c r="T118" t="s">
        <v>1477</v>
      </c>
      <c r="U118" t="s">
        <v>554</v>
      </c>
      <c r="W118" t="s">
        <v>1478</v>
      </c>
    </row>
    <row r="119" spans="1:23">
      <c r="A119" t="s">
        <v>1413</v>
      </c>
      <c r="B119" t="s">
        <v>1494</v>
      </c>
      <c r="C119" t="s">
        <v>1468</v>
      </c>
      <c r="D119" t="s">
        <v>200</v>
      </c>
      <c r="E119" t="s">
        <v>1494</v>
      </c>
      <c r="F119" t="s">
        <v>543</v>
      </c>
      <c r="G119" t="s">
        <v>1469</v>
      </c>
      <c r="H119" t="s">
        <v>1495</v>
      </c>
      <c r="I119" t="s">
        <v>1496</v>
      </c>
      <c r="J119" t="s">
        <v>485</v>
      </c>
      <c r="K119" t="s">
        <v>243</v>
      </c>
      <c r="L119" t="s">
        <v>730</v>
      </c>
      <c r="M119" t="s">
        <v>1473</v>
      </c>
      <c r="N119" t="s">
        <v>1497</v>
      </c>
      <c r="O119" t="s">
        <v>1475</v>
      </c>
      <c r="P119" t="s">
        <v>1498</v>
      </c>
      <c r="Q119" t="s">
        <v>552</v>
      </c>
      <c r="R119" t="s">
        <v>551</v>
      </c>
      <c r="S119" t="s">
        <v>196</v>
      </c>
      <c r="T119" t="s">
        <v>1477</v>
      </c>
      <c r="U119" t="s">
        <v>554</v>
      </c>
      <c r="W119" t="s">
        <v>1478</v>
      </c>
    </row>
    <row r="120" spans="1:23">
      <c r="A120" t="s">
        <v>1413</v>
      </c>
      <c r="B120" t="s">
        <v>1499</v>
      </c>
      <c r="C120" t="s">
        <v>1468</v>
      </c>
      <c r="D120" t="s">
        <v>200</v>
      </c>
      <c r="E120" t="s">
        <v>1499</v>
      </c>
      <c r="F120" t="s">
        <v>543</v>
      </c>
      <c r="G120" t="s">
        <v>1469</v>
      </c>
      <c r="H120" t="s">
        <v>1500</v>
      </c>
      <c r="I120" t="s">
        <v>1501</v>
      </c>
      <c r="J120" t="s">
        <v>485</v>
      </c>
      <c r="K120" t="s">
        <v>243</v>
      </c>
      <c r="L120" t="s">
        <v>309</v>
      </c>
      <c r="M120" t="s">
        <v>1473</v>
      </c>
      <c r="N120" t="s">
        <v>1502</v>
      </c>
      <c r="O120" t="s">
        <v>1475</v>
      </c>
      <c r="P120" t="s">
        <v>1503</v>
      </c>
      <c r="Q120" t="s">
        <v>552</v>
      </c>
      <c r="R120" t="s">
        <v>551</v>
      </c>
      <c r="S120" t="s">
        <v>196</v>
      </c>
      <c r="T120" t="s">
        <v>1477</v>
      </c>
      <c r="U120" t="s">
        <v>554</v>
      </c>
      <c r="W120" t="s">
        <v>1478</v>
      </c>
    </row>
    <row r="121" spans="1:23">
      <c r="A121" t="s">
        <v>1413</v>
      </c>
      <c r="B121" t="s">
        <v>1504</v>
      </c>
      <c r="C121" t="s">
        <v>1468</v>
      </c>
      <c r="D121" t="s">
        <v>200</v>
      </c>
      <c r="E121" t="s">
        <v>1504</v>
      </c>
      <c r="F121" t="s">
        <v>543</v>
      </c>
      <c r="G121" t="s">
        <v>1469</v>
      </c>
      <c r="H121" t="s">
        <v>1505</v>
      </c>
      <c r="I121" t="s">
        <v>1506</v>
      </c>
      <c r="J121" t="s">
        <v>485</v>
      </c>
      <c r="K121" t="s">
        <v>243</v>
      </c>
      <c r="L121" t="s">
        <v>1507</v>
      </c>
      <c r="M121" t="s">
        <v>1473</v>
      </c>
      <c r="N121" t="s">
        <v>1508</v>
      </c>
      <c r="O121" t="s">
        <v>1475</v>
      </c>
      <c r="P121" t="s">
        <v>1509</v>
      </c>
      <c r="Q121" t="s">
        <v>552</v>
      </c>
      <c r="R121" t="s">
        <v>551</v>
      </c>
      <c r="S121" t="s">
        <v>196</v>
      </c>
      <c r="T121" t="s">
        <v>1477</v>
      </c>
      <c r="U121" t="s">
        <v>554</v>
      </c>
      <c r="W121" t="s">
        <v>1478</v>
      </c>
    </row>
    <row r="122" spans="1:23">
      <c r="A122" t="s">
        <v>1413</v>
      </c>
      <c r="B122" t="s">
        <v>1510</v>
      </c>
      <c r="C122" t="s">
        <v>1468</v>
      </c>
      <c r="D122" t="s">
        <v>200</v>
      </c>
      <c r="E122" t="s">
        <v>1510</v>
      </c>
      <c r="F122" t="s">
        <v>543</v>
      </c>
      <c r="G122" t="s">
        <v>1469</v>
      </c>
      <c r="H122" t="s">
        <v>1511</v>
      </c>
      <c r="I122" t="s">
        <v>1512</v>
      </c>
      <c r="J122" t="s">
        <v>485</v>
      </c>
      <c r="K122" t="s">
        <v>243</v>
      </c>
      <c r="L122" t="s">
        <v>1513</v>
      </c>
      <c r="M122" t="s">
        <v>1473</v>
      </c>
      <c r="N122" t="s">
        <v>1514</v>
      </c>
      <c r="O122" t="s">
        <v>1475</v>
      </c>
      <c r="P122" t="s">
        <v>1515</v>
      </c>
      <c r="Q122" t="s">
        <v>552</v>
      </c>
      <c r="R122" t="s">
        <v>551</v>
      </c>
      <c r="S122" t="s">
        <v>196</v>
      </c>
      <c r="T122" t="s">
        <v>1477</v>
      </c>
      <c r="U122" t="s">
        <v>554</v>
      </c>
      <c r="W122" t="s">
        <v>1478</v>
      </c>
    </row>
    <row r="123" spans="1:23">
      <c r="A123" t="s">
        <v>1413</v>
      </c>
      <c r="B123" t="s">
        <v>1516</v>
      </c>
      <c r="C123" t="s">
        <v>1468</v>
      </c>
      <c r="D123" t="s">
        <v>200</v>
      </c>
      <c r="E123" t="s">
        <v>1516</v>
      </c>
      <c r="F123" t="s">
        <v>543</v>
      </c>
      <c r="G123" t="s">
        <v>1469</v>
      </c>
      <c r="H123" t="s">
        <v>1517</v>
      </c>
      <c r="I123" t="s">
        <v>1518</v>
      </c>
      <c r="J123" t="s">
        <v>485</v>
      </c>
      <c r="K123" t="s">
        <v>243</v>
      </c>
      <c r="L123" t="s">
        <v>1519</v>
      </c>
      <c r="M123" t="s">
        <v>1473</v>
      </c>
      <c r="N123" t="s">
        <v>1520</v>
      </c>
      <c r="O123" t="s">
        <v>1475</v>
      </c>
      <c r="P123" t="s">
        <v>1521</v>
      </c>
      <c r="Q123" t="s">
        <v>552</v>
      </c>
      <c r="R123" t="s">
        <v>551</v>
      </c>
      <c r="S123" t="s">
        <v>196</v>
      </c>
      <c r="T123" t="s">
        <v>1477</v>
      </c>
      <c r="U123" t="s">
        <v>554</v>
      </c>
      <c r="W123" t="s">
        <v>1478</v>
      </c>
    </row>
    <row r="124" spans="1:23">
      <c r="A124" t="s">
        <v>1413</v>
      </c>
      <c r="B124" t="s">
        <v>1522</v>
      </c>
      <c r="C124" t="s">
        <v>1468</v>
      </c>
      <c r="D124" t="s">
        <v>200</v>
      </c>
      <c r="E124" t="s">
        <v>1522</v>
      </c>
      <c r="F124" t="s">
        <v>543</v>
      </c>
      <c r="G124" t="s">
        <v>1469</v>
      </c>
      <c r="H124" t="s">
        <v>1523</v>
      </c>
      <c r="I124" t="s">
        <v>1524</v>
      </c>
      <c r="J124" t="s">
        <v>485</v>
      </c>
      <c r="K124" t="s">
        <v>243</v>
      </c>
      <c r="L124" t="s">
        <v>1525</v>
      </c>
      <c r="M124" t="s">
        <v>1473</v>
      </c>
      <c r="N124" t="s">
        <v>1526</v>
      </c>
      <c r="O124" t="s">
        <v>1475</v>
      </c>
      <c r="P124" t="s">
        <v>1527</v>
      </c>
      <c r="Q124" t="s">
        <v>552</v>
      </c>
      <c r="R124" t="s">
        <v>551</v>
      </c>
      <c r="S124" t="s">
        <v>196</v>
      </c>
      <c r="T124" t="s">
        <v>1477</v>
      </c>
      <c r="U124" t="s">
        <v>554</v>
      </c>
      <c r="W124" t="s">
        <v>1478</v>
      </c>
    </row>
    <row r="125" spans="1:23">
      <c r="A125" t="s">
        <v>1413</v>
      </c>
      <c r="B125" t="s">
        <v>1528</v>
      </c>
      <c r="C125" t="s">
        <v>1468</v>
      </c>
      <c r="D125" t="s">
        <v>200</v>
      </c>
      <c r="E125" t="s">
        <v>1528</v>
      </c>
      <c r="F125" t="s">
        <v>543</v>
      </c>
      <c r="G125" t="s">
        <v>1469</v>
      </c>
      <c r="H125" t="s">
        <v>1529</v>
      </c>
      <c r="I125" t="s">
        <v>1530</v>
      </c>
      <c r="J125" t="s">
        <v>485</v>
      </c>
      <c r="K125" t="s">
        <v>243</v>
      </c>
      <c r="L125" t="s">
        <v>302</v>
      </c>
      <c r="M125" t="s">
        <v>1473</v>
      </c>
      <c r="N125" t="s">
        <v>1531</v>
      </c>
      <c r="O125" t="s">
        <v>1475</v>
      </c>
      <c r="P125" t="s">
        <v>1532</v>
      </c>
      <c r="Q125" t="s">
        <v>552</v>
      </c>
      <c r="R125" t="s">
        <v>551</v>
      </c>
      <c r="S125" t="s">
        <v>196</v>
      </c>
      <c r="T125" t="s">
        <v>1477</v>
      </c>
      <c r="U125" t="s">
        <v>554</v>
      </c>
      <c r="W125" t="s">
        <v>1478</v>
      </c>
    </row>
    <row r="126" spans="1:23">
      <c r="A126" t="s">
        <v>1413</v>
      </c>
      <c r="B126" t="s">
        <v>1533</v>
      </c>
      <c r="C126" t="s">
        <v>1468</v>
      </c>
      <c r="D126" t="s">
        <v>200</v>
      </c>
      <c r="E126" t="s">
        <v>1533</v>
      </c>
      <c r="F126" t="s">
        <v>543</v>
      </c>
      <c r="G126" t="s">
        <v>1469</v>
      </c>
      <c r="H126" t="s">
        <v>1534</v>
      </c>
      <c r="I126" t="s">
        <v>1535</v>
      </c>
      <c r="J126" t="s">
        <v>485</v>
      </c>
      <c r="K126" t="s">
        <v>243</v>
      </c>
      <c r="L126" t="s">
        <v>546</v>
      </c>
      <c r="M126" t="s">
        <v>1473</v>
      </c>
      <c r="N126" t="s">
        <v>1536</v>
      </c>
      <c r="O126" t="s">
        <v>1475</v>
      </c>
      <c r="P126" t="s">
        <v>1537</v>
      </c>
      <c r="Q126" t="s">
        <v>552</v>
      </c>
      <c r="R126" t="s">
        <v>551</v>
      </c>
      <c r="S126" t="s">
        <v>196</v>
      </c>
      <c r="T126" t="s">
        <v>1477</v>
      </c>
      <c r="U126" t="s">
        <v>554</v>
      </c>
      <c r="W126" t="s">
        <v>1478</v>
      </c>
    </row>
    <row r="127" spans="1:23">
      <c r="A127" t="s">
        <v>1413</v>
      </c>
      <c r="B127" t="s">
        <v>1533</v>
      </c>
      <c r="C127" t="s">
        <v>1468</v>
      </c>
      <c r="D127" t="s">
        <v>200</v>
      </c>
      <c r="E127" t="s">
        <v>1533</v>
      </c>
      <c r="F127" t="s">
        <v>543</v>
      </c>
      <c r="G127" t="s">
        <v>1469</v>
      </c>
      <c r="H127" t="s">
        <v>1538</v>
      </c>
      <c r="I127" t="s">
        <v>1539</v>
      </c>
      <c r="J127" t="s">
        <v>521</v>
      </c>
      <c r="K127" t="s">
        <v>243</v>
      </c>
      <c r="L127" t="s">
        <v>546</v>
      </c>
      <c r="M127" t="s">
        <v>1473</v>
      </c>
      <c r="N127" t="s">
        <v>1540</v>
      </c>
      <c r="O127" t="s">
        <v>1475</v>
      </c>
      <c r="P127" t="s">
        <v>1541</v>
      </c>
      <c r="Q127" t="s">
        <v>552</v>
      </c>
      <c r="R127" t="s">
        <v>1542</v>
      </c>
      <c r="S127" t="s">
        <v>196</v>
      </c>
      <c r="T127" t="s">
        <v>1477</v>
      </c>
      <c r="U127" t="s">
        <v>554</v>
      </c>
      <c r="W127" t="s">
        <v>1478</v>
      </c>
    </row>
  </sheetData>
  <autoFilter ref="A5:W105" xr:uid="{00000000-0009-0000-0000-000005000000}"/>
  <mergeCells count="2">
    <mergeCell ref="A3:W3"/>
    <mergeCell ref="A1:W2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64A2"/>
    <pageSetUpPr fitToPage="1"/>
  </sheetPr>
  <dimension ref="A1:K41"/>
  <sheetViews>
    <sheetView showGridLines="0" workbookViewId="0">
      <pane xSplit="2" ySplit="6" topLeftCell="E7" activePane="bottomRight" state="frozen"/>
      <selection pane="bottomRight" activeCell="J8" sqref="J8"/>
      <selection pane="bottomLeft"/>
      <selection pane="topRight"/>
    </sheetView>
  </sheetViews>
  <sheetFormatPr defaultRowHeight="15"/>
  <cols>
    <col min="1" max="1" width="16" customWidth="1"/>
    <col min="2" max="2" width="34" customWidth="1"/>
    <col min="3" max="3" width="68" customWidth="1"/>
    <col min="4" max="4" width="18" customWidth="1"/>
    <col min="5" max="5" width="50" customWidth="1"/>
    <col min="6" max="6" width="45" customWidth="1"/>
    <col min="7" max="7" width="22" customWidth="1"/>
    <col min="8" max="8" width="19.5703125" customWidth="1"/>
    <col min="9" max="9" width="42" customWidth="1"/>
    <col min="10" max="10" width="38" customWidth="1"/>
    <col min="11" max="11" width="28" customWidth="1"/>
  </cols>
  <sheetData>
    <row r="1" spans="1:11">
      <c r="A1" s="37" t="s">
        <v>72</v>
      </c>
      <c r="B1" s="69"/>
      <c r="C1" s="69"/>
      <c r="D1" s="69"/>
      <c r="E1" s="69"/>
      <c r="F1" s="69"/>
      <c r="G1" s="69"/>
      <c r="H1" s="69"/>
      <c r="I1" s="69"/>
      <c r="J1" s="69"/>
    </row>
    <row r="2" spans="1:11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1" ht="33.950000000000003" customHeight="1">
      <c r="A3" s="47" t="s">
        <v>1543</v>
      </c>
      <c r="B3" s="69"/>
      <c r="C3" s="69"/>
      <c r="D3" s="69"/>
      <c r="E3" s="69"/>
      <c r="F3" s="69"/>
      <c r="G3" s="69"/>
      <c r="H3" s="69"/>
      <c r="I3" s="69"/>
      <c r="J3" s="69"/>
    </row>
    <row r="5" spans="1:11">
      <c r="A5" s="65" t="s">
        <v>1544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1">
      <c r="A6" s="29"/>
      <c r="B6" s="29"/>
      <c r="C6" s="29"/>
      <c r="D6" s="29"/>
      <c r="E6" s="29"/>
      <c r="F6" s="29"/>
      <c r="G6" s="29"/>
      <c r="H6" s="64"/>
      <c r="I6" s="69"/>
      <c r="J6" s="69"/>
      <c r="K6" s="69"/>
    </row>
    <row r="7" spans="1:11">
      <c r="A7" s="9" t="s">
        <v>1545</v>
      </c>
      <c r="B7" s="9" t="s">
        <v>1546</v>
      </c>
      <c r="C7" s="9" t="s">
        <v>1547</v>
      </c>
      <c r="D7" s="9" t="s">
        <v>148</v>
      </c>
      <c r="E7" s="9" t="s">
        <v>1548</v>
      </c>
      <c r="F7" s="9" t="s">
        <v>1549</v>
      </c>
      <c r="G7" s="10" t="s">
        <v>1550</v>
      </c>
      <c r="H7" s="10" t="s">
        <v>1551</v>
      </c>
      <c r="I7" s="10" t="s">
        <v>1552</v>
      </c>
      <c r="J7" s="10" t="s">
        <v>1553</v>
      </c>
      <c r="K7" s="10" t="s">
        <v>1554</v>
      </c>
    </row>
    <row r="8" spans="1:11" ht="60" customHeight="1">
      <c r="A8" s="9" t="s">
        <v>1391</v>
      </c>
      <c r="B8" s="9" t="s">
        <v>1555</v>
      </c>
      <c r="C8" s="9" t="s">
        <v>1556</v>
      </c>
      <c r="D8" s="9" t="s">
        <v>552</v>
      </c>
      <c r="E8" s="9" t="s">
        <v>1557</v>
      </c>
      <c r="F8" s="9" t="s">
        <v>1558</v>
      </c>
      <c r="G8" s="10" t="s">
        <v>1559</v>
      </c>
      <c r="H8" s="10"/>
      <c r="I8" s="10" t="s">
        <v>618</v>
      </c>
      <c r="J8" s="10" t="s">
        <v>1560</v>
      </c>
      <c r="K8" s="10" t="s">
        <v>1561</v>
      </c>
    </row>
    <row r="9" spans="1:11" ht="45" customHeight="1">
      <c r="A9" s="9" t="s">
        <v>554</v>
      </c>
      <c r="B9" s="9" t="s">
        <v>1562</v>
      </c>
      <c r="C9" s="9" t="s">
        <v>1563</v>
      </c>
      <c r="D9" s="9" t="s">
        <v>1564</v>
      </c>
      <c r="E9" s="9" t="s">
        <v>1565</v>
      </c>
      <c r="F9" s="9" t="s">
        <v>1566</v>
      </c>
      <c r="G9" s="10" t="s">
        <v>1559</v>
      </c>
      <c r="H9" s="10"/>
      <c r="I9" s="10" t="s">
        <v>1567</v>
      </c>
      <c r="J9" s="10" t="s">
        <v>1568</v>
      </c>
      <c r="K9" s="10" t="s">
        <v>1561</v>
      </c>
    </row>
    <row r="10" spans="1:11" ht="60" customHeight="1">
      <c r="A10" s="9" t="s">
        <v>1402</v>
      </c>
      <c r="B10" s="9" t="s">
        <v>1569</v>
      </c>
      <c r="C10" s="9" t="s">
        <v>1570</v>
      </c>
      <c r="D10" s="9" t="s">
        <v>552</v>
      </c>
      <c r="E10" s="9" t="s">
        <v>1571</v>
      </c>
      <c r="F10" s="9" t="s">
        <v>1572</v>
      </c>
      <c r="G10" s="10" t="s">
        <v>1559</v>
      </c>
      <c r="H10" s="10"/>
      <c r="I10" s="10" t="s">
        <v>1573</v>
      </c>
      <c r="J10" s="10" t="s">
        <v>1574</v>
      </c>
      <c r="K10" s="10" t="s">
        <v>1561</v>
      </c>
    </row>
    <row r="11" spans="1:11" ht="60" customHeight="1">
      <c r="A11" s="9" t="s">
        <v>1407</v>
      </c>
      <c r="B11" s="9" t="s">
        <v>1575</v>
      </c>
      <c r="C11" s="9" t="s">
        <v>1576</v>
      </c>
      <c r="D11" s="9" t="s">
        <v>196</v>
      </c>
      <c r="E11" s="9" t="s">
        <v>1577</v>
      </c>
      <c r="F11" s="9" t="s">
        <v>1578</v>
      </c>
      <c r="G11" s="10" t="s">
        <v>1559</v>
      </c>
      <c r="H11" s="10"/>
      <c r="I11" s="10" t="s">
        <v>618</v>
      </c>
      <c r="J11" s="10" t="s">
        <v>1579</v>
      </c>
      <c r="K11" s="10" t="s">
        <v>1561</v>
      </c>
    </row>
    <row r="12" spans="1:11" ht="45" customHeight="1">
      <c r="A12" s="9" t="s">
        <v>1580</v>
      </c>
      <c r="B12" s="9" t="s">
        <v>1581</v>
      </c>
      <c r="C12" s="9" t="s">
        <v>1582</v>
      </c>
      <c r="D12" s="9" t="s">
        <v>196</v>
      </c>
      <c r="E12" s="9" t="s">
        <v>1583</v>
      </c>
      <c r="F12" s="9" t="s">
        <v>1584</v>
      </c>
      <c r="G12" s="10" t="s">
        <v>1559</v>
      </c>
      <c r="H12" s="10"/>
      <c r="I12" s="10" t="s">
        <v>1585</v>
      </c>
      <c r="J12" s="10" t="s">
        <v>423</v>
      </c>
      <c r="K12" s="10" t="s">
        <v>1561</v>
      </c>
    </row>
    <row r="13" spans="1:11" ht="60" customHeight="1">
      <c r="A13" s="9" t="s">
        <v>1586</v>
      </c>
      <c r="B13" s="9" t="s">
        <v>1587</v>
      </c>
      <c r="C13" s="9" t="s">
        <v>1588</v>
      </c>
      <c r="D13" s="9" t="s">
        <v>1564</v>
      </c>
      <c r="E13" s="9" t="s">
        <v>1589</v>
      </c>
      <c r="F13" s="9" t="s">
        <v>1590</v>
      </c>
      <c r="G13" s="10" t="s">
        <v>1559</v>
      </c>
      <c r="H13" s="10"/>
      <c r="I13" s="10" t="s">
        <v>618</v>
      </c>
      <c r="J13" s="10" t="s">
        <v>1568</v>
      </c>
      <c r="K13" s="10" t="s">
        <v>1561</v>
      </c>
    </row>
    <row r="14" spans="1:11" ht="30" customHeight="1">
      <c r="A14" s="9" t="s">
        <v>1591</v>
      </c>
      <c r="B14" s="9" t="s">
        <v>1592</v>
      </c>
      <c r="C14" s="9" t="s">
        <v>1593</v>
      </c>
      <c r="D14" s="9" t="s">
        <v>196</v>
      </c>
      <c r="E14" s="9" t="s">
        <v>1594</v>
      </c>
      <c r="F14" s="9" t="s">
        <v>1595</v>
      </c>
      <c r="G14" s="10" t="s">
        <v>1559</v>
      </c>
      <c r="H14" s="10"/>
      <c r="I14" s="10" t="s">
        <v>448</v>
      </c>
      <c r="J14" s="10" t="s">
        <v>1596</v>
      </c>
      <c r="K14" s="10" t="s">
        <v>1561</v>
      </c>
    </row>
    <row r="16" spans="1:11">
      <c r="A16" s="63" t="s">
        <v>1597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7" spans="1:11">
      <c r="A17" s="55" t="s">
        <v>1598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</row>
    <row r="18" spans="1:11">
      <c r="A18" s="44" t="s">
        <v>1599</v>
      </c>
      <c r="B18" s="69"/>
      <c r="C18" s="69"/>
      <c r="D18" s="69"/>
      <c r="E18" s="69"/>
      <c r="F18" s="69"/>
      <c r="G18" s="69"/>
      <c r="H18" s="69"/>
      <c r="I18" s="69"/>
      <c r="J18" s="69"/>
    </row>
    <row r="19" spans="1:11" ht="30" customHeight="1">
      <c r="A19" s="29" t="s">
        <v>1600</v>
      </c>
      <c r="B19" s="29" t="s">
        <v>1601</v>
      </c>
      <c r="C19" s="29" t="s">
        <v>130</v>
      </c>
      <c r="D19" s="29" t="s">
        <v>1602</v>
      </c>
      <c r="E19" s="29" t="s">
        <v>1603</v>
      </c>
      <c r="F19" s="29" t="s">
        <v>1604</v>
      </c>
      <c r="G19" s="29" t="s">
        <v>148</v>
      </c>
      <c r="H19" s="29" t="s">
        <v>1605</v>
      </c>
      <c r="I19" s="29" t="s">
        <v>150</v>
      </c>
    </row>
    <row r="20" spans="1:11" ht="165" customHeight="1">
      <c r="A20" s="9">
        <v>1</v>
      </c>
      <c r="B20" s="9" t="s">
        <v>1606</v>
      </c>
      <c r="C20" s="9" t="s">
        <v>1607</v>
      </c>
      <c r="D20" s="9" t="s">
        <v>1608</v>
      </c>
      <c r="E20" s="9" t="s">
        <v>1573</v>
      </c>
      <c r="F20" s="9" t="s">
        <v>1609</v>
      </c>
      <c r="G20" s="9" t="s">
        <v>1610</v>
      </c>
      <c r="H20" s="9" t="s">
        <v>1611</v>
      </c>
      <c r="I20" s="9" t="s">
        <v>1612</v>
      </c>
    </row>
    <row r="21" spans="1:11" ht="90" customHeight="1">
      <c r="A21" s="9">
        <v>2</v>
      </c>
      <c r="B21" s="9" t="s">
        <v>1606</v>
      </c>
      <c r="C21" s="9" t="s">
        <v>593</v>
      </c>
      <c r="D21" s="9" t="s">
        <v>1613</v>
      </c>
      <c r="E21" s="9" t="s">
        <v>444</v>
      </c>
      <c r="F21" s="9" t="s">
        <v>1614</v>
      </c>
      <c r="G21" s="9" t="s">
        <v>552</v>
      </c>
      <c r="H21" s="9" t="s">
        <v>1615</v>
      </c>
      <c r="I21" s="9" t="s">
        <v>1612</v>
      </c>
    </row>
    <row r="22" spans="1:11" ht="120" customHeight="1">
      <c r="A22" s="9">
        <v>3</v>
      </c>
      <c r="B22" s="9" t="s">
        <v>1606</v>
      </c>
      <c r="C22" s="9" t="s">
        <v>33</v>
      </c>
      <c r="D22" s="9" t="s">
        <v>1616</v>
      </c>
      <c r="E22" s="9" t="s">
        <v>439</v>
      </c>
      <c r="F22" s="9" t="s">
        <v>1617</v>
      </c>
      <c r="G22" s="9" t="s">
        <v>1618</v>
      </c>
      <c r="H22" s="9" t="s">
        <v>1619</v>
      </c>
      <c r="I22" s="9" t="s">
        <v>1620</v>
      </c>
    </row>
    <row r="23" spans="1:11" ht="165" customHeight="1">
      <c r="A23" s="9">
        <v>4</v>
      </c>
      <c r="B23" s="9" t="s">
        <v>1606</v>
      </c>
      <c r="C23" s="9" t="s">
        <v>1621</v>
      </c>
      <c r="D23" s="9" t="s">
        <v>1622</v>
      </c>
      <c r="E23" s="9" t="s">
        <v>1623</v>
      </c>
      <c r="F23" s="9" t="s">
        <v>1624</v>
      </c>
      <c r="G23" s="9" t="s">
        <v>1625</v>
      </c>
      <c r="H23" s="9" t="s">
        <v>1626</v>
      </c>
      <c r="I23" s="9" t="s">
        <v>1612</v>
      </c>
    </row>
    <row r="24" spans="1:11" ht="120" customHeight="1">
      <c r="A24" s="9">
        <v>5</v>
      </c>
      <c r="B24" s="9" t="s">
        <v>1606</v>
      </c>
      <c r="C24" s="9" t="s">
        <v>1627</v>
      </c>
      <c r="D24" s="9" t="s">
        <v>1628</v>
      </c>
      <c r="E24" s="9" t="s">
        <v>448</v>
      </c>
      <c r="F24" s="9" t="s">
        <v>1629</v>
      </c>
      <c r="G24" s="9" t="s">
        <v>1630</v>
      </c>
      <c r="H24" s="9" t="s">
        <v>1626</v>
      </c>
      <c r="I24" s="9" t="s">
        <v>1612</v>
      </c>
    </row>
    <row r="25" spans="1:11" ht="180" customHeight="1">
      <c r="A25" s="9">
        <v>6</v>
      </c>
      <c r="B25" s="9" t="s">
        <v>1606</v>
      </c>
      <c r="C25" s="9" t="s">
        <v>1631</v>
      </c>
      <c r="D25" s="9" t="s">
        <v>1632</v>
      </c>
      <c r="E25" s="9" t="s">
        <v>464</v>
      </c>
      <c r="F25" s="9" t="s">
        <v>1633</v>
      </c>
      <c r="G25" s="9" t="s">
        <v>1634</v>
      </c>
      <c r="H25" s="9" t="s">
        <v>1635</v>
      </c>
      <c r="I25" s="9" t="s">
        <v>1612</v>
      </c>
    </row>
    <row r="26" spans="1:11" ht="180" customHeight="1">
      <c r="A26" s="9">
        <v>7</v>
      </c>
      <c r="B26" s="9" t="s">
        <v>1636</v>
      </c>
      <c r="C26" s="9" t="s">
        <v>1637</v>
      </c>
      <c r="D26" s="9" t="s">
        <v>1638</v>
      </c>
      <c r="E26" s="9" t="s">
        <v>1639</v>
      </c>
      <c r="F26" s="9" t="s">
        <v>1640</v>
      </c>
      <c r="G26" s="9" t="s">
        <v>196</v>
      </c>
      <c r="H26" s="9" t="s">
        <v>1641</v>
      </c>
      <c r="I26" s="9" t="s">
        <v>1642</v>
      </c>
    </row>
    <row r="30" spans="1:11">
      <c r="A30" s="44" t="s">
        <v>1643</v>
      </c>
      <c r="B30" s="69"/>
      <c r="C30" s="69"/>
      <c r="D30" s="69"/>
      <c r="E30" s="69"/>
      <c r="F30" s="69"/>
      <c r="G30" s="69"/>
      <c r="H30" s="69"/>
      <c r="I30" s="69"/>
      <c r="J30" s="69"/>
    </row>
    <row r="31" spans="1:11" ht="30" customHeight="1">
      <c r="A31" s="29" t="s">
        <v>1644</v>
      </c>
      <c r="B31" s="29" t="s">
        <v>1645</v>
      </c>
      <c r="C31" s="29" t="s">
        <v>1646</v>
      </c>
      <c r="D31" s="29" t="s">
        <v>1647</v>
      </c>
      <c r="E31" s="29" t="s">
        <v>1648</v>
      </c>
      <c r="F31" s="29" t="s">
        <v>1649</v>
      </c>
      <c r="G31" s="29" t="s">
        <v>1601</v>
      </c>
      <c r="H31" s="29" t="s">
        <v>1604</v>
      </c>
      <c r="I31" s="29" t="s">
        <v>1650</v>
      </c>
    </row>
    <row r="32" spans="1:11" ht="60" customHeight="1">
      <c r="A32" s="9" t="s">
        <v>1651</v>
      </c>
      <c r="B32" s="9" t="s">
        <v>1652</v>
      </c>
      <c r="C32" s="9" t="s">
        <v>1653</v>
      </c>
      <c r="D32" s="9" t="s">
        <v>1654</v>
      </c>
      <c r="E32" s="9" t="s">
        <v>1655</v>
      </c>
      <c r="F32" s="9" t="s">
        <v>1656</v>
      </c>
      <c r="G32" s="9" t="s">
        <v>1636</v>
      </c>
      <c r="H32" s="9" t="s">
        <v>1657</v>
      </c>
      <c r="I32" s="9" t="s">
        <v>1658</v>
      </c>
    </row>
    <row r="33" spans="1:11" ht="45" customHeight="1">
      <c r="A33" s="9" t="s">
        <v>1659</v>
      </c>
      <c r="B33" s="9" t="s">
        <v>1660</v>
      </c>
      <c r="C33" s="9" t="s">
        <v>1661</v>
      </c>
      <c r="D33" s="9" t="s">
        <v>1662</v>
      </c>
      <c r="E33" s="9" t="s">
        <v>1663</v>
      </c>
      <c r="F33" s="9" t="s">
        <v>1664</v>
      </c>
      <c r="G33" s="9" t="s">
        <v>1636</v>
      </c>
      <c r="H33" s="9" t="s">
        <v>1665</v>
      </c>
      <c r="I33" s="9" t="s">
        <v>1666</v>
      </c>
    </row>
    <row r="34" spans="1:11" ht="45" customHeight="1">
      <c r="A34" s="9" t="s">
        <v>1667</v>
      </c>
      <c r="B34" s="9" t="s">
        <v>1668</v>
      </c>
      <c r="C34" s="9" t="s">
        <v>1623</v>
      </c>
      <c r="D34" s="9" t="s">
        <v>1669</v>
      </c>
      <c r="E34" s="9" t="s">
        <v>1670</v>
      </c>
      <c r="F34" s="9" t="s">
        <v>1671</v>
      </c>
      <c r="G34" s="9" t="s">
        <v>1636</v>
      </c>
      <c r="H34" s="9" t="s">
        <v>1672</v>
      </c>
      <c r="I34" s="9" t="s">
        <v>1673</v>
      </c>
    </row>
    <row r="35" spans="1:11" ht="60" customHeight="1">
      <c r="A35" s="9" t="s">
        <v>1674</v>
      </c>
      <c r="B35" s="9" t="s">
        <v>1675</v>
      </c>
      <c r="C35" s="9" t="s">
        <v>1676</v>
      </c>
      <c r="D35" s="9" t="s">
        <v>1677</v>
      </c>
      <c r="E35" s="9" t="s">
        <v>1678</v>
      </c>
      <c r="F35" s="9" t="s">
        <v>1679</v>
      </c>
      <c r="G35" s="9" t="s">
        <v>1636</v>
      </c>
      <c r="H35" s="9" t="s">
        <v>1680</v>
      </c>
      <c r="I35" s="9" t="s">
        <v>1681</v>
      </c>
    </row>
    <row r="36" spans="1:11" ht="60" customHeight="1">
      <c r="A36" s="9" t="s">
        <v>1682</v>
      </c>
      <c r="B36" s="9" t="s">
        <v>1683</v>
      </c>
      <c r="C36" s="9" t="s">
        <v>1684</v>
      </c>
      <c r="D36" s="9" t="s">
        <v>1685</v>
      </c>
      <c r="E36" s="9" t="s">
        <v>1686</v>
      </c>
      <c r="F36" s="9" t="s">
        <v>1687</v>
      </c>
      <c r="G36" s="9" t="s">
        <v>1365</v>
      </c>
      <c r="H36" s="9" t="s">
        <v>1688</v>
      </c>
      <c r="I36" s="9" t="s">
        <v>1689</v>
      </c>
    </row>
    <row r="37" spans="1:11" ht="60" customHeight="1">
      <c r="A37" s="9" t="s">
        <v>1690</v>
      </c>
      <c r="B37" s="9" t="s">
        <v>1691</v>
      </c>
      <c r="C37" s="9" t="s">
        <v>1692</v>
      </c>
      <c r="D37" s="9" t="s">
        <v>1693</v>
      </c>
      <c r="E37" s="9" t="s">
        <v>1694</v>
      </c>
      <c r="F37" s="9" t="s">
        <v>1695</v>
      </c>
      <c r="G37" s="9" t="s">
        <v>1636</v>
      </c>
      <c r="H37" s="9" t="s">
        <v>1696</v>
      </c>
      <c r="I37" s="9" t="s">
        <v>1697</v>
      </c>
    </row>
    <row r="38" spans="1:11" ht="60" customHeight="1">
      <c r="A38" s="9" t="s">
        <v>1698</v>
      </c>
      <c r="B38" s="9" t="s">
        <v>1699</v>
      </c>
      <c r="C38" s="9" t="s">
        <v>448</v>
      </c>
      <c r="D38" s="9" t="s">
        <v>1700</v>
      </c>
      <c r="E38" s="9" t="s">
        <v>1636</v>
      </c>
      <c r="F38" s="9" t="s">
        <v>1701</v>
      </c>
      <c r="G38" s="9" t="s">
        <v>1606</v>
      </c>
      <c r="H38" s="9" t="s">
        <v>1702</v>
      </c>
      <c r="I38" s="9" t="s">
        <v>1703</v>
      </c>
    </row>
    <row r="40" spans="1:11">
      <c r="A40" t="s">
        <v>1437</v>
      </c>
      <c r="B40" t="s">
        <v>1704</v>
      </c>
      <c r="C40" t="s">
        <v>1705</v>
      </c>
      <c r="D40" t="s">
        <v>1564</v>
      </c>
      <c r="E40" t="s">
        <v>1706</v>
      </c>
      <c r="F40" t="s">
        <v>1707</v>
      </c>
      <c r="G40" t="s">
        <v>1559</v>
      </c>
      <c r="I40" t="s">
        <v>1708</v>
      </c>
      <c r="K40" t="s">
        <v>1709</v>
      </c>
    </row>
    <row r="41" spans="1:11">
      <c r="A41" t="s">
        <v>1710</v>
      </c>
      <c r="B41" t="s">
        <v>1711</v>
      </c>
      <c r="C41" t="s">
        <v>1712</v>
      </c>
      <c r="D41" t="s">
        <v>196</v>
      </c>
      <c r="E41" t="s">
        <v>1713</v>
      </c>
      <c r="F41" t="s">
        <v>1714</v>
      </c>
      <c r="G41" t="s">
        <v>1559</v>
      </c>
      <c r="I41" t="s">
        <v>1715</v>
      </c>
      <c r="K41" t="s">
        <v>1709</v>
      </c>
    </row>
  </sheetData>
  <mergeCells count="8">
    <mergeCell ref="A1:J2"/>
    <mergeCell ref="A18:J18"/>
    <mergeCell ref="A3:J3"/>
    <mergeCell ref="A30:J30"/>
    <mergeCell ref="A16:K16"/>
    <mergeCell ref="H6:K6"/>
    <mergeCell ref="A5:K5"/>
    <mergeCell ref="A17:K17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64A2"/>
  </sheetPr>
  <dimension ref="A1:K204"/>
  <sheetViews>
    <sheetView showGridLines="0" workbookViewId="0">
      <pane xSplit="3" ySplit="13" topLeftCell="D14" activePane="bottomRight" state="frozen"/>
      <selection pane="bottomRight" activeCell="C18" sqref="C18"/>
      <selection pane="bottomLeft"/>
      <selection pane="topRight"/>
    </sheetView>
  </sheetViews>
  <sheetFormatPr defaultRowHeight="15"/>
  <cols>
    <col min="1" max="1" width="14" customWidth="1"/>
    <col min="2" max="2" width="20" customWidth="1"/>
    <col min="3" max="3" width="16" customWidth="1"/>
    <col min="4" max="4" width="18" customWidth="1"/>
    <col min="5" max="5" width="20" customWidth="1"/>
    <col min="6" max="6" width="34" customWidth="1"/>
    <col min="7" max="7" width="30" customWidth="1"/>
    <col min="8" max="8" width="60" customWidth="1"/>
    <col min="9" max="10" width="22" customWidth="1"/>
    <col min="11" max="11" width="32" customWidth="1"/>
  </cols>
  <sheetData>
    <row r="1" spans="1:11">
      <c r="A1" s="48" t="s">
        <v>77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>
      <c r="A3" s="55" t="s">
        <v>1716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5" spans="1:11">
      <c r="A5" s="77" t="s">
        <v>1717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1">
      <c r="A6" s="30" t="s">
        <v>1718</v>
      </c>
      <c r="B6" s="83" t="s">
        <v>1719</v>
      </c>
      <c r="C6" s="69"/>
      <c r="D6" s="38" t="s">
        <v>1720</v>
      </c>
      <c r="E6" s="69"/>
      <c r="F6" s="69"/>
      <c r="G6" s="69"/>
      <c r="H6" s="69"/>
      <c r="I6" s="69"/>
      <c r="J6" s="69"/>
      <c r="K6" s="69"/>
    </row>
    <row r="7" spans="1:11">
      <c r="A7" s="30" t="s">
        <v>1721</v>
      </c>
      <c r="B7" s="83" t="s">
        <v>1722</v>
      </c>
      <c r="C7" s="69"/>
      <c r="D7" s="38" t="s">
        <v>1723</v>
      </c>
      <c r="E7" s="69"/>
      <c r="F7" s="69"/>
      <c r="G7" s="69"/>
      <c r="H7" s="69"/>
      <c r="I7" s="69"/>
      <c r="J7" s="69"/>
      <c r="K7" s="69"/>
    </row>
    <row r="8" spans="1:11">
      <c r="A8" s="30" t="s">
        <v>1724</v>
      </c>
      <c r="B8" s="83" t="s">
        <v>1725</v>
      </c>
      <c r="C8" s="69"/>
      <c r="D8" s="38" t="s">
        <v>1726</v>
      </c>
      <c r="E8" s="69"/>
      <c r="F8" s="69"/>
      <c r="G8" s="69"/>
      <c r="H8" s="69"/>
      <c r="I8" s="69"/>
      <c r="J8" s="69"/>
      <c r="K8" s="69"/>
    </row>
    <row r="9" spans="1:11">
      <c r="A9" s="30" t="s">
        <v>1727</v>
      </c>
      <c r="B9" s="83" t="s">
        <v>1728</v>
      </c>
      <c r="C9" s="69"/>
      <c r="D9" s="38" t="s">
        <v>1729</v>
      </c>
      <c r="E9" s="69"/>
      <c r="F9" s="69"/>
      <c r="G9" s="69"/>
      <c r="H9" s="69"/>
      <c r="I9" s="69"/>
      <c r="J9" s="69"/>
      <c r="K9" s="69"/>
    </row>
    <row r="10" spans="1:11">
      <c r="A10" s="30" t="s">
        <v>1730</v>
      </c>
      <c r="B10" s="83" t="s">
        <v>1731</v>
      </c>
      <c r="C10" s="69"/>
      <c r="D10" s="38" t="s">
        <v>1732</v>
      </c>
      <c r="E10" s="69"/>
      <c r="F10" s="69"/>
      <c r="G10" s="69"/>
      <c r="H10" s="69"/>
      <c r="I10" s="69"/>
      <c r="J10" s="69"/>
      <c r="K10" s="69"/>
    </row>
    <row r="13" spans="1:11">
      <c r="A13" s="31" t="s">
        <v>1733</v>
      </c>
      <c r="B13" s="31" t="s">
        <v>1734</v>
      </c>
      <c r="C13" s="31" t="s">
        <v>1735</v>
      </c>
      <c r="D13" s="31" t="s">
        <v>1545</v>
      </c>
      <c r="E13" s="31" t="s">
        <v>1648</v>
      </c>
      <c r="F13" s="31" t="s">
        <v>1736</v>
      </c>
      <c r="G13" s="31" t="s">
        <v>1737</v>
      </c>
      <c r="H13" s="31" t="s">
        <v>1738</v>
      </c>
      <c r="I13" s="31" t="s">
        <v>1739</v>
      </c>
      <c r="J13" s="31" t="s">
        <v>153</v>
      </c>
      <c r="K13" s="31" t="s">
        <v>1740</v>
      </c>
    </row>
    <row r="14" spans="1:11">
      <c r="A14" s="9" t="s">
        <v>1741</v>
      </c>
      <c r="B14" s="9" t="s">
        <v>877</v>
      </c>
      <c r="C14" s="9" t="s">
        <v>543</v>
      </c>
      <c r="D14" s="9" t="s">
        <v>771</v>
      </c>
      <c r="E14" s="9" t="s">
        <v>1742</v>
      </c>
      <c r="F14" s="9" t="s">
        <v>1743</v>
      </c>
      <c r="G14" s="9" t="s">
        <v>646</v>
      </c>
      <c r="H14" s="9" t="s">
        <v>1744</v>
      </c>
      <c r="I14" s="9" t="s">
        <v>1745</v>
      </c>
      <c r="J14" s="9"/>
      <c r="K14" s="9" t="s">
        <v>1746</v>
      </c>
    </row>
    <row r="15" spans="1:11">
      <c r="A15" s="9" t="s">
        <v>1747</v>
      </c>
      <c r="B15" s="9" t="s">
        <v>877</v>
      </c>
      <c r="C15" s="9" t="s">
        <v>543</v>
      </c>
      <c r="D15" s="9" t="s">
        <v>692</v>
      </c>
      <c r="E15" s="9" t="s">
        <v>1742</v>
      </c>
      <c r="F15" s="9" t="s">
        <v>1743</v>
      </c>
      <c r="G15" s="9" t="s">
        <v>646</v>
      </c>
      <c r="H15" s="9" t="s">
        <v>1744</v>
      </c>
      <c r="I15" s="9" t="s">
        <v>1745</v>
      </c>
      <c r="J15" s="9"/>
      <c r="K15" s="9" t="s">
        <v>1746</v>
      </c>
    </row>
    <row r="16" spans="1:11">
      <c r="A16" s="9" t="s">
        <v>1748</v>
      </c>
      <c r="B16" s="9" t="s">
        <v>887</v>
      </c>
      <c r="C16" s="9" t="s">
        <v>543</v>
      </c>
      <c r="D16" s="9" t="s">
        <v>1137</v>
      </c>
      <c r="E16" s="9" t="s">
        <v>1742</v>
      </c>
      <c r="F16" s="9" t="s">
        <v>1749</v>
      </c>
      <c r="G16" s="9" t="s">
        <v>895</v>
      </c>
      <c r="H16" s="9" t="s">
        <v>1750</v>
      </c>
      <c r="I16" s="9" t="s">
        <v>1745</v>
      </c>
      <c r="J16" s="9"/>
      <c r="K16" s="9" t="s">
        <v>1746</v>
      </c>
    </row>
    <row r="17" spans="1:11">
      <c r="A17" s="9" t="s">
        <v>1751</v>
      </c>
      <c r="B17" s="9" t="s">
        <v>887</v>
      </c>
      <c r="C17" s="9" t="s">
        <v>543</v>
      </c>
      <c r="D17" s="9" t="s">
        <v>692</v>
      </c>
      <c r="E17" s="9" t="s">
        <v>1742</v>
      </c>
      <c r="F17" s="9" t="s">
        <v>1749</v>
      </c>
      <c r="G17" s="9" t="s">
        <v>895</v>
      </c>
      <c r="H17" s="9" t="s">
        <v>1750</v>
      </c>
      <c r="I17" s="9" t="s">
        <v>1745</v>
      </c>
      <c r="J17" s="9"/>
      <c r="K17" s="9" t="s">
        <v>1746</v>
      </c>
    </row>
    <row r="18" spans="1:11">
      <c r="A18" s="9" t="s">
        <v>1752</v>
      </c>
      <c r="B18" s="9" t="s">
        <v>897</v>
      </c>
      <c r="C18" s="9" t="s">
        <v>543</v>
      </c>
      <c r="D18" s="9" t="s">
        <v>771</v>
      </c>
      <c r="E18" s="9" t="s">
        <v>1742</v>
      </c>
      <c r="F18" s="9" t="s">
        <v>877</v>
      </c>
      <c r="G18" s="9" t="s">
        <v>903</v>
      </c>
      <c r="H18" s="9" t="s">
        <v>1753</v>
      </c>
      <c r="I18" s="9" t="s">
        <v>1745</v>
      </c>
      <c r="J18" s="9"/>
      <c r="K18" s="9" t="s">
        <v>1746</v>
      </c>
    </row>
    <row r="19" spans="1:11">
      <c r="A19" s="9" t="s">
        <v>1754</v>
      </c>
      <c r="B19" s="9" t="s">
        <v>905</v>
      </c>
      <c r="C19" s="9" t="s">
        <v>543</v>
      </c>
      <c r="D19" s="9" t="s">
        <v>771</v>
      </c>
      <c r="E19" s="9" t="s">
        <v>1742</v>
      </c>
      <c r="F19" s="9" t="s">
        <v>897</v>
      </c>
      <c r="G19" s="9" t="s">
        <v>903</v>
      </c>
      <c r="H19" s="9" t="s">
        <v>1755</v>
      </c>
      <c r="I19" s="9" t="s">
        <v>1745</v>
      </c>
      <c r="J19" s="9"/>
      <c r="K19" s="9" t="s">
        <v>1746</v>
      </c>
    </row>
    <row r="20" spans="1:11">
      <c r="A20" s="9" t="s">
        <v>1756</v>
      </c>
      <c r="B20" s="9" t="s">
        <v>912</v>
      </c>
      <c r="C20" s="9" t="s">
        <v>543</v>
      </c>
      <c r="D20" s="9" t="s">
        <v>1137</v>
      </c>
      <c r="E20" s="9" t="s">
        <v>1742</v>
      </c>
      <c r="F20" s="9" t="s">
        <v>887</v>
      </c>
      <c r="G20" s="9" t="s">
        <v>919</v>
      </c>
      <c r="H20" s="9" t="s">
        <v>1757</v>
      </c>
      <c r="I20" s="9" t="s">
        <v>1745</v>
      </c>
      <c r="J20" s="9"/>
      <c r="K20" s="9" t="s">
        <v>1746</v>
      </c>
    </row>
    <row r="21" spans="1:11">
      <c r="A21" s="9" t="s">
        <v>1758</v>
      </c>
      <c r="B21" s="9" t="s">
        <v>912</v>
      </c>
      <c r="C21" s="9" t="s">
        <v>543</v>
      </c>
      <c r="D21" s="9" t="s">
        <v>692</v>
      </c>
      <c r="E21" s="9" t="s">
        <v>1742</v>
      </c>
      <c r="F21" s="9" t="s">
        <v>887</v>
      </c>
      <c r="G21" s="9" t="s">
        <v>919</v>
      </c>
      <c r="H21" s="9" t="s">
        <v>1757</v>
      </c>
      <c r="I21" s="9" t="s">
        <v>1745</v>
      </c>
      <c r="J21" s="9"/>
      <c r="K21" s="9" t="s">
        <v>1746</v>
      </c>
    </row>
    <row r="22" spans="1:11">
      <c r="A22" s="9" t="s">
        <v>1759</v>
      </c>
      <c r="B22" s="9" t="s">
        <v>921</v>
      </c>
      <c r="C22" s="9" t="s">
        <v>543</v>
      </c>
      <c r="D22" s="9" t="s">
        <v>771</v>
      </c>
      <c r="E22" s="9" t="s">
        <v>1742</v>
      </c>
      <c r="F22" s="9" t="s">
        <v>897</v>
      </c>
      <c r="G22" s="9" t="s">
        <v>903</v>
      </c>
      <c r="H22" s="9" t="s">
        <v>1760</v>
      </c>
      <c r="I22" s="9" t="s">
        <v>1745</v>
      </c>
      <c r="J22" s="9"/>
      <c r="K22" s="9" t="s">
        <v>1746</v>
      </c>
    </row>
    <row r="23" spans="1:11">
      <c r="A23" s="9" t="s">
        <v>1761</v>
      </c>
      <c r="B23" s="9" t="s">
        <v>930</v>
      </c>
      <c r="C23" s="9" t="s">
        <v>715</v>
      </c>
      <c r="D23" s="9" t="s">
        <v>692</v>
      </c>
      <c r="E23" s="9" t="s">
        <v>1742</v>
      </c>
      <c r="F23" s="9" t="s">
        <v>1762</v>
      </c>
      <c r="G23" s="9" t="s">
        <v>939</v>
      </c>
      <c r="H23" s="9" t="s">
        <v>1763</v>
      </c>
      <c r="I23" s="9" t="s">
        <v>1745</v>
      </c>
      <c r="J23" s="9"/>
      <c r="K23" s="9" t="s">
        <v>1746</v>
      </c>
    </row>
    <row r="24" spans="1:11">
      <c r="A24" s="9" t="s">
        <v>1764</v>
      </c>
      <c r="B24" s="9" t="s">
        <v>1071</v>
      </c>
      <c r="C24" s="9" t="s">
        <v>543</v>
      </c>
      <c r="D24" s="9" t="s">
        <v>771</v>
      </c>
      <c r="E24" s="9" t="s">
        <v>1742</v>
      </c>
      <c r="F24" s="9" t="s">
        <v>897</v>
      </c>
      <c r="G24" s="9" t="s">
        <v>693</v>
      </c>
      <c r="H24" s="9" t="s">
        <v>1765</v>
      </c>
      <c r="I24" s="9" t="s">
        <v>1745</v>
      </c>
      <c r="J24" s="9"/>
      <c r="K24" s="9" t="s">
        <v>1746</v>
      </c>
    </row>
    <row r="25" spans="1:11">
      <c r="A25" s="9" t="s">
        <v>1766</v>
      </c>
      <c r="B25" s="9" t="s">
        <v>1079</v>
      </c>
      <c r="C25" s="9" t="s">
        <v>543</v>
      </c>
      <c r="D25" s="9" t="s">
        <v>692</v>
      </c>
      <c r="E25" s="9" t="s">
        <v>1742</v>
      </c>
      <c r="F25" s="9" t="s">
        <v>1767</v>
      </c>
      <c r="G25" s="9" t="s">
        <v>693</v>
      </c>
      <c r="H25" s="9" t="s">
        <v>1768</v>
      </c>
      <c r="I25" s="9" t="s">
        <v>1745</v>
      </c>
      <c r="J25" s="9"/>
      <c r="K25" s="9" t="s">
        <v>1746</v>
      </c>
    </row>
    <row r="26" spans="1:11">
      <c r="A26" s="9" t="s">
        <v>1769</v>
      </c>
      <c r="B26" s="9" t="s">
        <v>1087</v>
      </c>
      <c r="C26" s="9" t="s">
        <v>543</v>
      </c>
      <c r="D26" s="9" t="s">
        <v>771</v>
      </c>
      <c r="E26" s="9" t="s">
        <v>1742</v>
      </c>
      <c r="F26" s="9" t="s">
        <v>1071</v>
      </c>
      <c r="G26" s="9" t="s">
        <v>693</v>
      </c>
      <c r="H26" s="9" t="s">
        <v>1770</v>
      </c>
      <c r="I26" s="9" t="s">
        <v>1745</v>
      </c>
      <c r="J26" s="9"/>
      <c r="K26" s="9" t="s">
        <v>1746</v>
      </c>
    </row>
    <row r="27" spans="1:11">
      <c r="A27" s="9" t="s">
        <v>1771</v>
      </c>
      <c r="B27" s="9" t="s">
        <v>686</v>
      </c>
      <c r="C27" s="9" t="s">
        <v>612</v>
      </c>
      <c r="D27" s="9"/>
      <c r="E27" s="9" t="s">
        <v>1772</v>
      </c>
      <c r="F27" s="9" t="s">
        <v>1079</v>
      </c>
      <c r="G27" s="9" t="s">
        <v>693</v>
      </c>
      <c r="H27" s="9" t="s">
        <v>1773</v>
      </c>
      <c r="I27" s="9" t="s">
        <v>1745</v>
      </c>
      <c r="J27" s="9"/>
      <c r="K27" s="9" t="s">
        <v>1746</v>
      </c>
    </row>
    <row r="28" spans="1:11">
      <c r="A28" s="9" t="s">
        <v>1774</v>
      </c>
      <c r="B28" s="9" t="s">
        <v>1111</v>
      </c>
      <c r="C28" s="9" t="s">
        <v>543</v>
      </c>
      <c r="D28" s="9" t="s">
        <v>771</v>
      </c>
      <c r="E28" s="9" t="s">
        <v>1742</v>
      </c>
      <c r="F28" s="9" t="s">
        <v>897</v>
      </c>
      <c r="G28" s="9" t="s">
        <v>939</v>
      </c>
      <c r="H28" s="9" t="s">
        <v>1775</v>
      </c>
      <c r="I28" s="9" t="s">
        <v>1745</v>
      </c>
      <c r="J28" s="9"/>
      <c r="K28" s="9" t="s">
        <v>1746</v>
      </c>
    </row>
    <row r="29" spans="1:11">
      <c r="A29" s="9" t="s">
        <v>1776</v>
      </c>
      <c r="B29" s="9" t="s">
        <v>1120</v>
      </c>
      <c r="C29" s="9" t="s">
        <v>543</v>
      </c>
      <c r="D29" s="9" t="s">
        <v>633</v>
      </c>
      <c r="E29" s="9" t="s">
        <v>1742</v>
      </c>
      <c r="F29" s="9" t="s">
        <v>887</v>
      </c>
      <c r="G29" s="9" t="s">
        <v>939</v>
      </c>
      <c r="H29" s="9" t="s">
        <v>1777</v>
      </c>
      <c r="I29" s="9" t="s">
        <v>1745</v>
      </c>
      <c r="J29" s="9"/>
      <c r="K29" s="9" t="s">
        <v>1746</v>
      </c>
    </row>
    <row r="30" spans="1:11">
      <c r="A30" s="9" t="s">
        <v>1778</v>
      </c>
      <c r="B30" s="9" t="s">
        <v>1131</v>
      </c>
      <c r="C30" s="9" t="s">
        <v>543</v>
      </c>
      <c r="D30" s="9" t="s">
        <v>1137</v>
      </c>
      <c r="E30" s="9" t="s">
        <v>1742</v>
      </c>
      <c r="F30" s="9" t="s">
        <v>1120</v>
      </c>
      <c r="G30" s="9" t="s">
        <v>939</v>
      </c>
      <c r="H30" s="9" t="s">
        <v>1779</v>
      </c>
      <c r="I30" s="9" t="s">
        <v>1745</v>
      </c>
      <c r="J30" s="9"/>
      <c r="K30" s="9" t="s">
        <v>1746</v>
      </c>
    </row>
    <row r="31" spans="1:11">
      <c r="A31" s="9" t="s">
        <v>1780</v>
      </c>
      <c r="B31" s="9" t="s">
        <v>406</v>
      </c>
      <c r="C31" s="9" t="s">
        <v>543</v>
      </c>
      <c r="D31" s="9" t="s">
        <v>692</v>
      </c>
      <c r="E31" s="9" t="s">
        <v>1742</v>
      </c>
      <c r="F31" s="9" t="s">
        <v>1767</v>
      </c>
      <c r="G31" s="9" t="s">
        <v>959</v>
      </c>
      <c r="H31" s="9" t="s">
        <v>1781</v>
      </c>
      <c r="I31" s="9" t="s">
        <v>1745</v>
      </c>
      <c r="J31" s="9"/>
      <c r="K31" s="9" t="s">
        <v>1746</v>
      </c>
    </row>
    <row r="32" spans="1:11">
      <c r="A32" s="9" t="s">
        <v>1782</v>
      </c>
      <c r="B32" s="9" t="s">
        <v>1149</v>
      </c>
      <c r="C32" s="9" t="s">
        <v>543</v>
      </c>
      <c r="D32" s="9" t="s">
        <v>692</v>
      </c>
      <c r="E32" s="9" t="s">
        <v>1742</v>
      </c>
      <c r="F32" s="9" t="s">
        <v>406</v>
      </c>
      <c r="G32" s="9" t="s">
        <v>959</v>
      </c>
      <c r="H32" s="9" t="s">
        <v>1783</v>
      </c>
      <c r="I32" s="9" t="s">
        <v>1745</v>
      </c>
      <c r="J32" s="9"/>
      <c r="K32" s="9" t="s">
        <v>1746</v>
      </c>
    </row>
    <row r="33" spans="1:11">
      <c r="A33" s="9" t="s">
        <v>1784</v>
      </c>
      <c r="B33" s="9" t="s">
        <v>818</v>
      </c>
      <c r="C33" s="9" t="s">
        <v>543</v>
      </c>
      <c r="D33" s="9" t="s">
        <v>829</v>
      </c>
      <c r="E33" s="9" t="s">
        <v>1742</v>
      </c>
      <c r="F33" s="9" t="s">
        <v>905</v>
      </c>
      <c r="G33" s="9" t="s">
        <v>830</v>
      </c>
      <c r="H33" s="9" t="s">
        <v>1785</v>
      </c>
      <c r="I33" s="9" t="s">
        <v>1745</v>
      </c>
      <c r="J33" s="9"/>
      <c r="K33" s="9" t="s">
        <v>1746</v>
      </c>
    </row>
    <row r="34" spans="1:11">
      <c r="A34" s="9" t="s">
        <v>1786</v>
      </c>
      <c r="B34" s="9" t="s">
        <v>832</v>
      </c>
      <c r="C34" s="9" t="s">
        <v>543</v>
      </c>
      <c r="D34" s="9" t="s">
        <v>829</v>
      </c>
      <c r="E34" s="9" t="s">
        <v>1742</v>
      </c>
      <c r="F34" s="9" t="s">
        <v>818</v>
      </c>
      <c r="G34" s="9" t="s">
        <v>830</v>
      </c>
      <c r="H34" s="9" t="s">
        <v>1787</v>
      </c>
      <c r="I34" s="9" t="s">
        <v>1745</v>
      </c>
      <c r="J34" s="9"/>
      <c r="K34" s="9" t="s">
        <v>1746</v>
      </c>
    </row>
    <row r="35" spans="1:11">
      <c r="A35" s="9" t="s">
        <v>1788</v>
      </c>
      <c r="B35" s="9" t="s">
        <v>841</v>
      </c>
      <c r="C35" s="9" t="s">
        <v>543</v>
      </c>
      <c r="D35" s="9"/>
      <c r="E35" s="9" t="s">
        <v>1742</v>
      </c>
      <c r="F35" s="9" t="s">
        <v>1767</v>
      </c>
      <c r="G35" s="9"/>
      <c r="H35" s="9" t="s">
        <v>1789</v>
      </c>
      <c r="I35" s="9" t="s">
        <v>1745</v>
      </c>
      <c r="J35" s="9"/>
      <c r="K35" s="9" t="s">
        <v>1746</v>
      </c>
    </row>
    <row r="36" spans="1:11">
      <c r="A36" s="9" t="s">
        <v>1790</v>
      </c>
      <c r="B36" s="9" t="s">
        <v>277</v>
      </c>
      <c r="C36" s="9" t="s">
        <v>543</v>
      </c>
      <c r="D36" s="9" t="s">
        <v>829</v>
      </c>
      <c r="E36" s="9" t="s">
        <v>1742</v>
      </c>
      <c r="F36" s="9" t="s">
        <v>818</v>
      </c>
      <c r="G36" s="9" t="s">
        <v>830</v>
      </c>
      <c r="H36" s="9" t="s">
        <v>854</v>
      </c>
      <c r="I36" s="9" t="s">
        <v>1745</v>
      </c>
      <c r="J36" s="9"/>
      <c r="K36" s="9" t="s">
        <v>1746</v>
      </c>
    </row>
    <row r="37" spans="1:11">
      <c r="A37" s="9" t="s">
        <v>1791</v>
      </c>
      <c r="B37" s="9" t="s">
        <v>285</v>
      </c>
      <c r="C37" s="9" t="s">
        <v>543</v>
      </c>
      <c r="D37" s="9"/>
      <c r="E37" s="9" t="s">
        <v>1742</v>
      </c>
      <c r="F37" s="9"/>
      <c r="G37" s="9"/>
      <c r="H37" s="9" t="s">
        <v>1792</v>
      </c>
      <c r="I37" s="9" t="s">
        <v>1745</v>
      </c>
      <c r="J37" s="9"/>
      <c r="K37" s="9" t="s">
        <v>1746</v>
      </c>
    </row>
    <row r="38" spans="1:11">
      <c r="A38" s="9" t="s">
        <v>1793</v>
      </c>
      <c r="B38" s="9" t="s">
        <v>291</v>
      </c>
      <c r="C38" s="9" t="s">
        <v>543</v>
      </c>
      <c r="D38" s="9"/>
      <c r="E38" s="9" t="s">
        <v>1742</v>
      </c>
      <c r="F38" s="9"/>
      <c r="G38" s="9"/>
      <c r="H38" s="9" t="s">
        <v>1794</v>
      </c>
      <c r="I38" s="9" t="s">
        <v>1745</v>
      </c>
      <c r="J38" s="9"/>
      <c r="K38" s="9" t="s">
        <v>1746</v>
      </c>
    </row>
    <row r="39" spans="1:11">
      <c r="A39" s="9" t="s">
        <v>1795</v>
      </c>
      <c r="B39" s="9" t="s">
        <v>1094</v>
      </c>
      <c r="C39" s="9" t="s">
        <v>543</v>
      </c>
      <c r="D39" s="9" t="s">
        <v>771</v>
      </c>
      <c r="E39" s="9" t="s">
        <v>1742</v>
      </c>
      <c r="F39" s="9" t="s">
        <v>897</v>
      </c>
      <c r="G39" s="9" t="s">
        <v>737</v>
      </c>
      <c r="H39" s="9" t="s">
        <v>1796</v>
      </c>
      <c r="I39" s="9" t="s">
        <v>1745</v>
      </c>
      <c r="J39" s="9"/>
      <c r="K39" s="9" t="s">
        <v>1746</v>
      </c>
    </row>
    <row r="40" spans="1:11">
      <c r="A40" s="9" t="s">
        <v>1797</v>
      </c>
      <c r="B40" s="9" t="s">
        <v>1094</v>
      </c>
      <c r="C40" s="9" t="s">
        <v>543</v>
      </c>
      <c r="D40" s="9" t="s">
        <v>1798</v>
      </c>
      <c r="E40" s="9" t="s">
        <v>1742</v>
      </c>
      <c r="F40" s="9" t="s">
        <v>897</v>
      </c>
      <c r="G40" s="9" t="s">
        <v>737</v>
      </c>
      <c r="H40" s="9" t="s">
        <v>1796</v>
      </c>
      <c r="I40" s="9" t="s">
        <v>1745</v>
      </c>
      <c r="J40" s="9"/>
      <c r="K40" s="9" t="s">
        <v>1746</v>
      </c>
    </row>
    <row r="41" spans="1:11">
      <c r="A41" s="9" t="s">
        <v>1799</v>
      </c>
      <c r="B41" s="9" t="s">
        <v>1104</v>
      </c>
      <c r="C41" s="9" t="s">
        <v>612</v>
      </c>
      <c r="D41" s="9"/>
      <c r="E41" s="9" t="s">
        <v>1772</v>
      </c>
      <c r="F41" s="9" t="s">
        <v>1094</v>
      </c>
      <c r="G41" s="9" t="s">
        <v>737</v>
      </c>
      <c r="H41" s="9" t="s">
        <v>1800</v>
      </c>
      <c r="I41" s="9" t="s">
        <v>1745</v>
      </c>
      <c r="J41" s="9"/>
      <c r="K41" s="9" t="s">
        <v>1746</v>
      </c>
    </row>
    <row r="42" spans="1:11">
      <c r="A42" s="9" t="s">
        <v>1801</v>
      </c>
      <c r="B42" s="9" t="s">
        <v>295</v>
      </c>
      <c r="C42" s="9" t="s">
        <v>543</v>
      </c>
      <c r="D42" s="9" t="s">
        <v>704</v>
      </c>
      <c r="E42" s="9" t="s">
        <v>1742</v>
      </c>
      <c r="F42" s="9"/>
      <c r="G42" s="9" t="s">
        <v>616</v>
      </c>
      <c r="H42" s="9" t="s">
        <v>1802</v>
      </c>
      <c r="I42" s="9" t="s">
        <v>1745</v>
      </c>
      <c r="J42" s="9"/>
      <c r="K42" s="9" t="s">
        <v>1746</v>
      </c>
    </row>
    <row r="43" spans="1:11">
      <c r="A43" s="9" t="s">
        <v>1803</v>
      </c>
      <c r="B43" s="9" t="s">
        <v>303</v>
      </c>
      <c r="C43" s="9" t="s">
        <v>543</v>
      </c>
      <c r="D43" s="9" t="s">
        <v>704</v>
      </c>
      <c r="E43" s="9" t="s">
        <v>1742</v>
      </c>
      <c r="F43" s="9"/>
      <c r="G43" s="9" t="s">
        <v>616</v>
      </c>
      <c r="H43" s="9" t="s">
        <v>1804</v>
      </c>
      <c r="I43" s="9" t="s">
        <v>1745</v>
      </c>
      <c r="J43" s="9"/>
      <c r="K43" s="9" t="s">
        <v>1746</v>
      </c>
    </row>
    <row r="44" spans="1:11">
      <c r="A44" s="9" t="s">
        <v>1805</v>
      </c>
      <c r="B44" s="9" t="s">
        <v>714</v>
      </c>
      <c r="C44" s="9" t="s">
        <v>715</v>
      </c>
      <c r="D44" s="9" t="s">
        <v>704</v>
      </c>
      <c r="E44" s="9" t="s">
        <v>1742</v>
      </c>
      <c r="F44" s="9" t="s">
        <v>295</v>
      </c>
      <c r="G44" s="9" t="s">
        <v>616</v>
      </c>
      <c r="H44" s="9" t="s">
        <v>1806</v>
      </c>
      <c r="I44" s="9" t="s">
        <v>1745</v>
      </c>
      <c r="J44" s="9"/>
      <c r="K44" s="9" t="s">
        <v>1746</v>
      </c>
    </row>
    <row r="45" spans="1:11">
      <c r="A45" s="9" t="s">
        <v>1807</v>
      </c>
      <c r="B45" s="9" t="s">
        <v>724</v>
      </c>
      <c r="C45" s="9" t="s">
        <v>543</v>
      </c>
      <c r="D45" s="9" t="s">
        <v>736</v>
      </c>
      <c r="E45" s="9" t="s">
        <v>1742</v>
      </c>
      <c r="F45" s="9" t="s">
        <v>1767</v>
      </c>
      <c r="G45" s="9" t="s">
        <v>737</v>
      </c>
      <c r="H45" s="9" t="s">
        <v>1808</v>
      </c>
      <c r="I45" s="9" t="s">
        <v>1745</v>
      </c>
      <c r="J45" s="9"/>
      <c r="K45" s="9" t="s">
        <v>1746</v>
      </c>
    </row>
    <row r="46" spans="1:11">
      <c r="A46" s="9" t="s">
        <v>1809</v>
      </c>
      <c r="B46" s="9" t="s">
        <v>739</v>
      </c>
      <c r="C46" s="9" t="s">
        <v>543</v>
      </c>
      <c r="D46" s="9" t="s">
        <v>736</v>
      </c>
      <c r="E46" s="9" t="s">
        <v>1742</v>
      </c>
      <c r="F46" s="9" t="s">
        <v>724</v>
      </c>
      <c r="G46" s="9" t="s">
        <v>616</v>
      </c>
      <c r="H46" s="9" t="s">
        <v>1810</v>
      </c>
      <c r="I46" s="9" t="s">
        <v>1745</v>
      </c>
      <c r="J46" s="9"/>
      <c r="K46" s="9" t="s">
        <v>1746</v>
      </c>
    </row>
    <row r="47" spans="1:11">
      <c r="A47" s="9" t="s">
        <v>1811</v>
      </c>
      <c r="B47" s="9" t="s">
        <v>750</v>
      </c>
      <c r="C47" s="9" t="s">
        <v>543</v>
      </c>
      <c r="D47" s="9" t="s">
        <v>736</v>
      </c>
      <c r="E47" s="9" t="s">
        <v>1742</v>
      </c>
      <c r="F47" s="9" t="s">
        <v>921</v>
      </c>
      <c r="G47" s="9" t="s">
        <v>616</v>
      </c>
      <c r="H47" s="9" t="s">
        <v>1812</v>
      </c>
      <c r="I47" s="9" t="s">
        <v>1745</v>
      </c>
      <c r="J47" s="9"/>
      <c r="K47" s="9" t="s">
        <v>1746</v>
      </c>
    </row>
    <row r="48" spans="1:11">
      <c r="A48" s="9" t="s">
        <v>1813</v>
      </c>
      <c r="B48" s="9" t="s">
        <v>762</v>
      </c>
      <c r="C48" s="9" t="s">
        <v>543</v>
      </c>
      <c r="D48" s="9" t="s">
        <v>771</v>
      </c>
      <c r="E48" s="9" t="s">
        <v>1742</v>
      </c>
      <c r="F48" s="9" t="s">
        <v>897</v>
      </c>
      <c r="G48" s="9" t="s">
        <v>737</v>
      </c>
      <c r="H48" s="9" t="s">
        <v>1814</v>
      </c>
      <c r="I48" s="9" t="s">
        <v>1745</v>
      </c>
      <c r="J48" s="9"/>
      <c r="K48" s="9" t="s">
        <v>1746</v>
      </c>
    </row>
    <row r="49" spans="1:11">
      <c r="A49" s="9" t="s">
        <v>1815</v>
      </c>
      <c r="B49" s="9" t="s">
        <v>773</v>
      </c>
      <c r="C49" s="9" t="s">
        <v>543</v>
      </c>
      <c r="D49" s="9" t="s">
        <v>771</v>
      </c>
      <c r="E49" s="9" t="s">
        <v>1742</v>
      </c>
      <c r="F49" s="9" t="s">
        <v>1071</v>
      </c>
      <c r="G49" s="9" t="s">
        <v>693</v>
      </c>
      <c r="H49" s="9" t="s">
        <v>1816</v>
      </c>
      <c r="I49" s="9" t="s">
        <v>1745</v>
      </c>
      <c r="J49" s="9"/>
      <c r="K49" s="9" t="s">
        <v>1746</v>
      </c>
    </row>
    <row r="50" spans="1:11">
      <c r="A50" s="9" t="s">
        <v>1817</v>
      </c>
      <c r="B50" s="9" t="s">
        <v>782</v>
      </c>
      <c r="C50" s="9" t="s">
        <v>543</v>
      </c>
      <c r="D50" s="9" t="s">
        <v>704</v>
      </c>
      <c r="E50" s="9" t="s">
        <v>1742</v>
      </c>
      <c r="F50" s="9" t="s">
        <v>773</v>
      </c>
      <c r="G50" s="9" t="s">
        <v>616</v>
      </c>
      <c r="H50" s="9" t="s">
        <v>1818</v>
      </c>
      <c r="I50" s="9" t="s">
        <v>1745</v>
      </c>
      <c r="J50" s="9"/>
      <c r="K50" s="9" t="s">
        <v>1746</v>
      </c>
    </row>
    <row r="51" spans="1:11">
      <c r="A51" s="9" t="s">
        <v>1819</v>
      </c>
      <c r="B51" s="9" t="s">
        <v>792</v>
      </c>
      <c r="C51" s="9" t="s">
        <v>543</v>
      </c>
      <c r="D51" s="9" t="s">
        <v>704</v>
      </c>
      <c r="E51" s="9" t="s">
        <v>1742</v>
      </c>
      <c r="F51" s="9"/>
      <c r="G51" s="9" t="s">
        <v>616</v>
      </c>
      <c r="H51" s="9" t="s">
        <v>1820</v>
      </c>
      <c r="I51" s="9" t="s">
        <v>1745</v>
      </c>
      <c r="J51" s="9"/>
      <c r="K51" s="9" t="s">
        <v>1746</v>
      </c>
    </row>
    <row r="52" spans="1:11">
      <c r="A52" s="9" t="s">
        <v>1821</v>
      </c>
      <c r="B52" s="9" t="s">
        <v>801</v>
      </c>
      <c r="C52" s="9" t="s">
        <v>543</v>
      </c>
      <c r="D52" s="9" t="s">
        <v>704</v>
      </c>
      <c r="E52" s="9" t="s">
        <v>1742</v>
      </c>
      <c r="F52" s="9"/>
      <c r="G52" s="9" t="s">
        <v>616</v>
      </c>
      <c r="H52" s="9" t="s">
        <v>1822</v>
      </c>
      <c r="I52" s="9" t="s">
        <v>1745</v>
      </c>
      <c r="J52" s="9"/>
      <c r="K52" s="9" t="s">
        <v>1746</v>
      </c>
    </row>
    <row r="53" spans="1:11">
      <c r="A53" s="9" t="s">
        <v>1823</v>
      </c>
      <c r="B53" s="9" t="s">
        <v>333</v>
      </c>
      <c r="C53" s="9" t="s">
        <v>543</v>
      </c>
      <c r="D53" s="9" t="s">
        <v>704</v>
      </c>
      <c r="E53" s="9" t="s">
        <v>1742</v>
      </c>
      <c r="F53" s="9"/>
      <c r="G53" s="9" t="s">
        <v>737</v>
      </c>
      <c r="H53" s="9" t="s">
        <v>1824</v>
      </c>
      <c r="I53" s="9" t="s">
        <v>1745</v>
      </c>
      <c r="J53" s="9"/>
      <c r="K53" s="9" t="s">
        <v>1746</v>
      </c>
    </row>
    <row r="54" spans="1:11">
      <c r="A54" s="9" t="s">
        <v>1825</v>
      </c>
      <c r="B54" s="9" t="s">
        <v>623</v>
      </c>
      <c r="C54" s="9" t="s">
        <v>543</v>
      </c>
      <c r="D54" s="9" t="s">
        <v>633</v>
      </c>
      <c r="E54" s="9" t="s">
        <v>1742</v>
      </c>
      <c r="F54" s="9" t="s">
        <v>980</v>
      </c>
      <c r="G54" s="9" t="s">
        <v>634</v>
      </c>
      <c r="H54" s="9" t="s">
        <v>1826</v>
      </c>
      <c r="I54" s="9" t="s">
        <v>1745</v>
      </c>
      <c r="J54" s="9"/>
      <c r="K54" s="9" t="s">
        <v>1746</v>
      </c>
    </row>
    <row r="55" spans="1:11">
      <c r="A55" s="9" t="s">
        <v>1827</v>
      </c>
      <c r="B55" s="9" t="s">
        <v>980</v>
      </c>
      <c r="C55" s="9" t="s">
        <v>543</v>
      </c>
      <c r="D55" s="9" t="s">
        <v>633</v>
      </c>
      <c r="E55" s="9" t="s">
        <v>1742</v>
      </c>
      <c r="F55" s="9" t="s">
        <v>623</v>
      </c>
      <c r="G55" s="9" t="s">
        <v>634</v>
      </c>
      <c r="H55" s="9" t="s">
        <v>1828</v>
      </c>
      <c r="I55" s="9" t="s">
        <v>1745</v>
      </c>
      <c r="J55" s="9"/>
      <c r="K55" s="9" t="s">
        <v>1746</v>
      </c>
    </row>
    <row r="56" spans="1:11">
      <c r="A56" s="9" t="s">
        <v>1829</v>
      </c>
      <c r="B56" s="9" t="s">
        <v>636</v>
      </c>
      <c r="C56" s="9" t="s">
        <v>543</v>
      </c>
      <c r="D56" s="9" t="s">
        <v>645</v>
      </c>
      <c r="E56" s="9" t="s">
        <v>1742</v>
      </c>
      <c r="F56" s="9" t="s">
        <v>1830</v>
      </c>
      <c r="G56" s="9" t="s">
        <v>646</v>
      </c>
      <c r="H56" s="9" t="s">
        <v>1831</v>
      </c>
      <c r="I56" s="9" t="s">
        <v>1745</v>
      </c>
      <c r="J56" s="9"/>
      <c r="K56" s="9" t="s">
        <v>1746</v>
      </c>
    </row>
    <row r="57" spans="1:11">
      <c r="A57" s="9" t="s">
        <v>1832</v>
      </c>
      <c r="B57" s="9" t="s">
        <v>352</v>
      </c>
      <c r="C57" s="9" t="s">
        <v>543</v>
      </c>
      <c r="D57" s="9" t="s">
        <v>645</v>
      </c>
      <c r="E57" s="9" t="s">
        <v>1742</v>
      </c>
      <c r="F57" s="9" t="s">
        <v>636</v>
      </c>
      <c r="G57" s="9" t="s">
        <v>903</v>
      </c>
      <c r="H57" s="9" t="s">
        <v>1833</v>
      </c>
      <c r="I57" s="9" t="s">
        <v>1745</v>
      </c>
      <c r="J57" s="9"/>
      <c r="K57" s="9" t="s">
        <v>1746</v>
      </c>
    </row>
    <row r="58" spans="1:11">
      <c r="A58" s="9" t="s">
        <v>1834</v>
      </c>
      <c r="B58" s="9" t="s">
        <v>359</v>
      </c>
      <c r="C58" s="9" t="s">
        <v>543</v>
      </c>
      <c r="D58" s="9" t="s">
        <v>645</v>
      </c>
      <c r="E58" s="9" t="s">
        <v>1742</v>
      </c>
      <c r="F58" s="9" t="s">
        <v>636</v>
      </c>
      <c r="G58" s="9" t="s">
        <v>1005</v>
      </c>
      <c r="H58" s="9" t="s">
        <v>1835</v>
      </c>
      <c r="I58" s="9" t="s">
        <v>1745</v>
      </c>
      <c r="J58" s="9"/>
      <c r="K58" s="9" t="s">
        <v>1746</v>
      </c>
    </row>
    <row r="59" spans="1:11">
      <c r="A59" s="9" t="s">
        <v>1836</v>
      </c>
      <c r="B59" s="9" t="s">
        <v>1007</v>
      </c>
      <c r="C59" s="9" t="s">
        <v>543</v>
      </c>
      <c r="D59" s="9" t="s">
        <v>771</v>
      </c>
      <c r="E59" s="9" t="s">
        <v>1742</v>
      </c>
      <c r="F59" s="9" t="s">
        <v>921</v>
      </c>
      <c r="G59" s="9" t="s">
        <v>737</v>
      </c>
      <c r="H59" s="9" t="s">
        <v>1837</v>
      </c>
      <c r="I59" s="9" t="s">
        <v>1745</v>
      </c>
      <c r="J59" s="9"/>
      <c r="K59" s="9" t="s">
        <v>1746</v>
      </c>
    </row>
    <row r="60" spans="1:11">
      <c r="A60" s="9" t="s">
        <v>1838</v>
      </c>
      <c r="B60" s="9" t="s">
        <v>648</v>
      </c>
      <c r="C60" s="9" t="s">
        <v>543</v>
      </c>
      <c r="D60" s="9" t="s">
        <v>655</v>
      </c>
      <c r="E60" s="9" t="s">
        <v>1742</v>
      </c>
      <c r="F60" s="9"/>
      <c r="G60" s="9" t="s">
        <v>656</v>
      </c>
      <c r="H60" s="9" t="s">
        <v>649</v>
      </c>
      <c r="I60" s="9" t="s">
        <v>1745</v>
      </c>
      <c r="J60" s="9"/>
      <c r="K60" s="9" t="s">
        <v>1746</v>
      </c>
    </row>
    <row r="61" spans="1:11">
      <c r="A61" s="9" t="s">
        <v>1839</v>
      </c>
      <c r="B61" s="9" t="s">
        <v>1016</v>
      </c>
      <c r="C61" s="9" t="s">
        <v>715</v>
      </c>
      <c r="D61" s="9" t="s">
        <v>655</v>
      </c>
      <c r="E61" s="9" t="s">
        <v>1742</v>
      </c>
      <c r="F61" s="9"/>
      <c r="G61" s="9" t="s">
        <v>616</v>
      </c>
      <c r="H61" s="9" t="s">
        <v>1840</v>
      </c>
      <c r="I61" s="9" t="s">
        <v>1745</v>
      </c>
      <c r="J61" s="9"/>
      <c r="K61" s="9" t="s">
        <v>1746</v>
      </c>
    </row>
    <row r="62" spans="1:11">
      <c r="A62" s="9" t="s">
        <v>1841</v>
      </c>
      <c r="B62" s="9" t="s">
        <v>658</v>
      </c>
      <c r="C62" s="9" t="s">
        <v>543</v>
      </c>
      <c r="D62" s="9" t="s">
        <v>655</v>
      </c>
      <c r="E62" s="9" t="s">
        <v>1742</v>
      </c>
      <c r="F62" s="9"/>
      <c r="G62" s="9" t="s">
        <v>664</v>
      </c>
      <c r="H62" s="9" t="s">
        <v>659</v>
      </c>
      <c r="I62" s="9" t="s">
        <v>1745</v>
      </c>
      <c r="J62" s="9"/>
      <c r="K62" s="9" t="s">
        <v>1746</v>
      </c>
    </row>
    <row r="63" spans="1:11">
      <c r="A63" s="9" t="s">
        <v>1842</v>
      </c>
      <c r="B63" s="9" t="s">
        <v>371</v>
      </c>
      <c r="C63" s="9" t="s">
        <v>543</v>
      </c>
      <c r="D63" s="9" t="s">
        <v>655</v>
      </c>
      <c r="E63" s="9" t="s">
        <v>1742</v>
      </c>
      <c r="F63" s="9" t="s">
        <v>658</v>
      </c>
      <c r="G63" s="9" t="s">
        <v>616</v>
      </c>
      <c r="H63" s="9" t="s">
        <v>1843</v>
      </c>
      <c r="I63" s="9" t="s">
        <v>1745</v>
      </c>
      <c r="J63" s="9"/>
      <c r="K63" s="9" t="s">
        <v>1746</v>
      </c>
    </row>
    <row r="64" spans="1:11">
      <c r="A64" s="9" t="s">
        <v>1844</v>
      </c>
      <c r="B64" s="9" t="s">
        <v>666</v>
      </c>
      <c r="C64" s="9" t="s">
        <v>543</v>
      </c>
      <c r="D64" s="9" t="s">
        <v>655</v>
      </c>
      <c r="E64" s="9" t="s">
        <v>1742</v>
      </c>
      <c r="F64" s="9"/>
      <c r="G64" s="9" t="s">
        <v>673</v>
      </c>
      <c r="H64" s="9" t="s">
        <v>667</v>
      </c>
      <c r="I64" s="9" t="s">
        <v>1745</v>
      </c>
      <c r="J64" s="9"/>
      <c r="K64" s="9" t="s">
        <v>1746</v>
      </c>
    </row>
    <row r="65" spans="1:11">
      <c r="A65" s="9" t="s">
        <v>1845</v>
      </c>
      <c r="B65" s="9" t="s">
        <v>1032</v>
      </c>
      <c r="C65" s="9" t="s">
        <v>543</v>
      </c>
      <c r="D65" s="9" t="s">
        <v>655</v>
      </c>
      <c r="E65" s="9" t="s">
        <v>1742</v>
      </c>
      <c r="F65" s="9" t="s">
        <v>666</v>
      </c>
      <c r="G65" s="9" t="s">
        <v>673</v>
      </c>
      <c r="H65" s="9" t="s">
        <v>1846</v>
      </c>
      <c r="I65" s="9" t="s">
        <v>1745</v>
      </c>
      <c r="J65" s="9"/>
      <c r="K65" s="9" t="s">
        <v>1746</v>
      </c>
    </row>
    <row r="66" spans="1:11">
      <c r="A66" s="9" t="s">
        <v>1847</v>
      </c>
      <c r="B66" s="9" t="s">
        <v>383</v>
      </c>
      <c r="C66" s="9" t="s">
        <v>543</v>
      </c>
      <c r="D66" s="9" t="s">
        <v>655</v>
      </c>
      <c r="E66" s="9" t="s">
        <v>1742</v>
      </c>
      <c r="F66" s="9"/>
      <c r="G66" s="9" t="s">
        <v>616</v>
      </c>
      <c r="H66" s="9" t="s">
        <v>1848</v>
      </c>
      <c r="I66" s="9" t="s">
        <v>1745</v>
      </c>
      <c r="J66" s="9"/>
      <c r="K66" s="9" t="s">
        <v>1746</v>
      </c>
    </row>
    <row r="67" spans="1:11">
      <c r="A67" s="9" t="s">
        <v>1849</v>
      </c>
      <c r="B67" s="9" t="s">
        <v>675</v>
      </c>
      <c r="C67" s="9" t="s">
        <v>543</v>
      </c>
      <c r="D67" s="9" t="s">
        <v>683</v>
      </c>
      <c r="E67" s="9" t="s">
        <v>1742</v>
      </c>
      <c r="F67" s="9" t="s">
        <v>1049</v>
      </c>
      <c r="G67" s="9" t="s">
        <v>684</v>
      </c>
      <c r="H67" s="9" t="s">
        <v>1850</v>
      </c>
      <c r="I67" s="9" t="s">
        <v>1745</v>
      </c>
      <c r="J67" s="9"/>
      <c r="K67" s="9" t="s">
        <v>1746</v>
      </c>
    </row>
    <row r="68" spans="1:11">
      <c r="A68" s="9" t="s">
        <v>1851</v>
      </c>
      <c r="B68" s="9" t="s">
        <v>1049</v>
      </c>
      <c r="C68" s="9" t="s">
        <v>543</v>
      </c>
      <c r="D68" s="9" t="s">
        <v>683</v>
      </c>
      <c r="E68" s="9" t="s">
        <v>1742</v>
      </c>
      <c r="F68" s="9" t="s">
        <v>675</v>
      </c>
      <c r="G68" s="9" t="s">
        <v>616</v>
      </c>
      <c r="H68" s="9" t="s">
        <v>1852</v>
      </c>
      <c r="I68" s="9" t="s">
        <v>1745</v>
      </c>
      <c r="J68" s="9"/>
      <c r="K68" s="9" t="s">
        <v>1746</v>
      </c>
    </row>
    <row r="69" spans="1:11">
      <c r="A69" s="9" t="s">
        <v>1853</v>
      </c>
      <c r="B69" s="9" t="s">
        <v>1060</v>
      </c>
      <c r="C69" s="9" t="s">
        <v>543</v>
      </c>
      <c r="D69" s="9" t="s">
        <v>683</v>
      </c>
      <c r="E69" s="9" t="s">
        <v>1742</v>
      </c>
      <c r="F69" s="9" t="s">
        <v>675</v>
      </c>
      <c r="G69" s="9" t="s">
        <v>903</v>
      </c>
      <c r="H69" s="9" t="s">
        <v>1854</v>
      </c>
      <c r="I69" s="9" t="s">
        <v>1745</v>
      </c>
      <c r="J69" s="9"/>
      <c r="K69" s="9" t="s">
        <v>1746</v>
      </c>
    </row>
    <row r="70" spans="1:11">
      <c r="A70" s="9" t="s">
        <v>1855</v>
      </c>
      <c r="B70" s="9" t="s">
        <v>941</v>
      </c>
      <c r="C70" s="9" t="s">
        <v>543</v>
      </c>
      <c r="D70" s="9" t="s">
        <v>771</v>
      </c>
      <c r="E70" s="9" t="s">
        <v>1742</v>
      </c>
      <c r="F70" s="9" t="s">
        <v>1856</v>
      </c>
      <c r="G70" s="9" t="s">
        <v>903</v>
      </c>
      <c r="H70" s="9" t="s">
        <v>1857</v>
      </c>
      <c r="I70" s="9" t="s">
        <v>1745</v>
      </c>
      <c r="J70" s="9"/>
      <c r="K70" s="9" t="s">
        <v>1746</v>
      </c>
    </row>
    <row r="71" spans="1:11">
      <c r="A71" s="9" t="s">
        <v>1858</v>
      </c>
      <c r="B71" s="9" t="s">
        <v>393</v>
      </c>
      <c r="C71" s="9" t="s">
        <v>950</v>
      </c>
      <c r="D71" s="9" t="s">
        <v>1137</v>
      </c>
      <c r="E71" s="9" t="s">
        <v>1742</v>
      </c>
      <c r="F71" s="9" t="s">
        <v>1859</v>
      </c>
      <c r="G71" s="9" t="s">
        <v>959</v>
      </c>
      <c r="H71" s="9" t="s">
        <v>1860</v>
      </c>
      <c r="I71" s="9" t="s">
        <v>1745</v>
      </c>
      <c r="J71" s="9"/>
      <c r="K71" s="9" t="s">
        <v>1746</v>
      </c>
    </row>
    <row r="72" spans="1:11">
      <c r="A72" s="9" t="s">
        <v>1861</v>
      </c>
      <c r="B72" s="9" t="s">
        <v>393</v>
      </c>
      <c r="C72" s="9" t="s">
        <v>950</v>
      </c>
      <c r="D72" s="9" t="s">
        <v>692</v>
      </c>
      <c r="E72" s="9" t="s">
        <v>1742</v>
      </c>
      <c r="F72" s="9" t="s">
        <v>1859</v>
      </c>
      <c r="G72" s="9" t="s">
        <v>959</v>
      </c>
      <c r="H72" s="9" t="s">
        <v>1860</v>
      </c>
      <c r="I72" s="9" t="s">
        <v>1745</v>
      </c>
      <c r="J72" s="9"/>
      <c r="K72" s="9" t="s">
        <v>1746</v>
      </c>
    </row>
    <row r="73" spans="1:11">
      <c r="A73" s="9" t="s">
        <v>1862</v>
      </c>
      <c r="B73" s="9" t="s">
        <v>961</v>
      </c>
      <c r="C73" s="9" t="s">
        <v>715</v>
      </c>
      <c r="D73" s="9" t="s">
        <v>692</v>
      </c>
      <c r="E73" s="9" t="s">
        <v>1742</v>
      </c>
      <c r="F73" s="9" t="s">
        <v>1863</v>
      </c>
      <c r="G73" s="9" t="s">
        <v>903</v>
      </c>
      <c r="H73" s="9" t="s">
        <v>1864</v>
      </c>
      <c r="I73" s="9" t="s">
        <v>1745</v>
      </c>
      <c r="J73" s="9"/>
      <c r="K73" s="9" t="s">
        <v>1746</v>
      </c>
    </row>
    <row r="74" spans="1:11">
      <c r="A74" s="9" t="s">
        <v>1865</v>
      </c>
      <c r="B74" s="9" t="s">
        <v>611</v>
      </c>
      <c r="C74" s="9" t="s">
        <v>612</v>
      </c>
      <c r="D74" s="9"/>
      <c r="E74" s="9" t="s">
        <v>1772</v>
      </c>
      <c r="F74" s="9"/>
      <c r="G74" s="9"/>
      <c r="H74" s="9" t="s">
        <v>1866</v>
      </c>
      <c r="I74" s="9" t="s">
        <v>1745</v>
      </c>
      <c r="J74" s="9"/>
      <c r="K74" s="9" t="s">
        <v>1746</v>
      </c>
    </row>
    <row r="75" spans="1:11">
      <c r="A75" s="9" t="s">
        <v>1867</v>
      </c>
      <c r="B75" s="9" t="s">
        <v>400</v>
      </c>
      <c r="C75" s="9" t="s">
        <v>543</v>
      </c>
      <c r="D75" s="9" t="s">
        <v>692</v>
      </c>
      <c r="E75" s="9" t="s">
        <v>1742</v>
      </c>
      <c r="F75" s="9" t="s">
        <v>1868</v>
      </c>
      <c r="G75" s="9" t="s">
        <v>978</v>
      </c>
      <c r="H75" s="9" t="s">
        <v>1869</v>
      </c>
      <c r="I75" s="9" t="s">
        <v>1745</v>
      </c>
      <c r="J75" s="9"/>
      <c r="K75" s="9" t="s">
        <v>1746</v>
      </c>
    </row>
    <row r="76" spans="1:11">
      <c r="A76" s="9" t="s">
        <v>1870</v>
      </c>
      <c r="B76" s="9" t="s">
        <v>1871</v>
      </c>
      <c r="C76" s="9" t="s">
        <v>1872</v>
      </c>
      <c r="D76" s="9" t="s">
        <v>554</v>
      </c>
      <c r="E76" s="9" t="s">
        <v>1873</v>
      </c>
      <c r="F76" s="9" t="s">
        <v>841</v>
      </c>
      <c r="G76" s="9"/>
      <c r="H76" s="9" t="s">
        <v>1874</v>
      </c>
      <c r="I76" s="9" t="s">
        <v>1745</v>
      </c>
      <c r="J76" s="9"/>
      <c r="K76" s="9" t="s">
        <v>1746</v>
      </c>
    </row>
    <row r="77" spans="1:11">
      <c r="A77" s="9" t="s">
        <v>1875</v>
      </c>
      <c r="B77" s="9" t="s">
        <v>1871</v>
      </c>
      <c r="C77" s="9" t="s">
        <v>1872</v>
      </c>
      <c r="D77" s="9" t="s">
        <v>1586</v>
      </c>
      <c r="E77" s="9" t="s">
        <v>1873</v>
      </c>
      <c r="F77" s="9" t="s">
        <v>841</v>
      </c>
      <c r="G77" s="9"/>
      <c r="H77" s="9" t="s">
        <v>1874</v>
      </c>
      <c r="I77" s="9" t="s">
        <v>1745</v>
      </c>
      <c r="J77" s="9"/>
      <c r="K77" s="9" t="s">
        <v>1746</v>
      </c>
    </row>
    <row r="78" spans="1:11">
      <c r="A78" s="9" t="s">
        <v>1876</v>
      </c>
      <c r="B78" s="9" t="s">
        <v>1877</v>
      </c>
      <c r="C78" s="9" t="s">
        <v>1872</v>
      </c>
      <c r="D78" s="9" t="s">
        <v>554</v>
      </c>
      <c r="E78" s="9" t="s">
        <v>1873</v>
      </c>
      <c r="F78" s="9"/>
      <c r="G78" s="9"/>
      <c r="H78" s="9" t="s">
        <v>1878</v>
      </c>
      <c r="I78" s="9" t="s">
        <v>1745</v>
      </c>
      <c r="J78" s="9"/>
      <c r="K78" s="9" t="s">
        <v>1746</v>
      </c>
    </row>
    <row r="79" spans="1:11">
      <c r="A79" s="9" t="s">
        <v>1879</v>
      </c>
      <c r="B79" s="9" t="s">
        <v>1877</v>
      </c>
      <c r="C79" s="9" t="s">
        <v>1872</v>
      </c>
      <c r="D79" s="9" t="s">
        <v>1586</v>
      </c>
      <c r="E79" s="9" t="s">
        <v>1873</v>
      </c>
      <c r="F79" s="9"/>
      <c r="G79" s="9"/>
      <c r="H79" s="9" t="s">
        <v>1878</v>
      </c>
      <c r="I79" s="9" t="s">
        <v>1745</v>
      </c>
      <c r="J79" s="9"/>
      <c r="K79" s="9" t="s">
        <v>1746</v>
      </c>
    </row>
    <row r="80" spans="1:11">
      <c r="A80" s="9" t="s">
        <v>1880</v>
      </c>
      <c r="B80" s="9" t="s">
        <v>1881</v>
      </c>
      <c r="C80" s="9" t="s">
        <v>1872</v>
      </c>
      <c r="D80" s="9" t="s">
        <v>1391</v>
      </c>
      <c r="E80" s="9" t="s">
        <v>1873</v>
      </c>
      <c r="F80" s="9"/>
      <c r="G80" s="9" t="s">
        <v>737</v>
      </c>
      <c r="H80" s="9" t="s">
        <v>1882</v>
      </c>
      <c r="I80" s="9" t="s">
        <v>1745</v>
      </c>
      <c r="J80" s="9"/>
      <c r="K80" s="9" t="s">
        <v>1746</v>
      </c>
    </row>
    <row r="81" spans="1:11">
      <c r="A81" s="9" t="s">
        <v>1883</v>
      </c>
      <c r="B81" s="9" t="s">
        <v>1884</v>
      </c>
      <c r="C81" s="9" t="s">
        <v>1872</v>
      </c>
      <c r="D81" s="9" t="s">
        <v>648</v>
      </c>
      <c r="E81" s="9" t="s">
        <v>1873</v>
      </c>
      <c r="F81" s="9"/>
      <c r="G81" s="9" t="s">
        <v>616</v>
      </c>
      <c r="H81" s="9" t="s">
        <v>1885</v>
      </c>
      <c r="I81" s="9" t="s">
        <v>1745</v>
      </c>
      <c r="J81" s="9"/>
      <c r="K81" s="9" t="s">
        <v>1746</v>
      </c>
    </row>
    <row r="82" spans="1:11">
      <c r="A82" s="9" t="s">
        <v>1886</v>
      </c>
      <c r="B82" s="9" t="s">
        <v>1887</v>
      </c>
      <c r="C82" s="9" t="s">
        <v>1872</v>
      </c>
      <c r="D82" s="9" t="s">
        <v>666</v>
      </c>
      <c r="E82" s="9" t="s">
        <v>1873</v>
      </c>
      <c r="F82" s="9"/>
      <c r="G82" s="9" t="s">
        <v>616</v>
      </c>
      <c r="H82" s="9" t="s">
        <v>1888</v>
      </c>
      <c r="I82" s="9" t="s">
        <v>1745</v>
      </c>
      <c r="J82" s="9"/>
      <c r="K82" s="9" t="s">
        <v>1746</v>
      </c>
    </row>
    <row r="83" spans="1:11">
      <c r="A83" s="9" t="s">
        <v>1889</v>
      </c>
      <c r="B83" s="9" t="s">
        <v>423</v>
      </c>
      <c r="C83" s="9" t="s">
        <v>1872</v>
      </c>
      <c r="D83" s="9" t="s">
        <v>1391</v>
      </c>
      <c r="E83" s="9" t="s">
        <v>1873</v>
      </c>
      <c r="F83" s="9"/>
      <c r="G83" s="9" t="s">
        <v>616</v>
      </c>
      <c r="H83" s="9" t="s">
        <v>1890</v>
      </c>
      <c r="I83" s="9" t="s">
        <v>1745</v>
      </c>
      <c r="J83" s="9"/>
      <c r="K83" s="9" t="s">
        <v>1746</v>
      </c>
    </row>
    <row r="84" spans="1:11">
      <c r="A84" s="9" t="s">
        <v>1891</v>
      </c>
      <c r="B84" s="9" t="s">
        <v>423</v>
      </c>
      <c r="C84" s="9" t="s">
        <v>1872</v>
      </c>
      <c r="D84" s="9" t="s">
        <v>1580</v>
      </c>
      <c r="E84" s="9" t="s">
        <v>1873</v>
      </c>
      <c r="F84" s="9"/>
      <c r="G84" s="9" t="s">
        <v>616</v>
      </c>
      <c r="H84" s="9" t="s">
        <v>1890</v>
      </c>
      <c r="I84" s="9" t="s">
        <v>1745</v>
      </c>
      <c r="J84" s="9"/>
      <c r="K84" s="9" t="s">
        <v>1746</v>
      </c>
    </row>
    <row r="85" spans="1:11">
      <c r="A85" s="9" t="s">
        <v>1892</v>
      </c>
      <c r="B85" s="9" t="s">
        <v>428</v>
      </c>
      <c r="C85" s="9" t="s">
        <v>1872</v>
      </c>
      <c r="D85" s="9" t="s">
        <v>1402</v>
      </c>
      <c r="E85" s="9" t="s">
        <v>1873</v>
      </c>
      <c r="F85" s="9"/>
      <c r="G85" s="9" t="s">
        <v>616</v>
      </c>
      <c r="H85" s="9" t="s">
        <v>1893</v>
      </c>
      <c r="I85" s="9" t="s">
        <v>1745</v>
      </c>
      <c r="J85" s="9"/>
      <c r="K85" s="9" t="s">
        <v>1746</v>
      </c>
    </row>
    <row r="86" spans="1:11">
      <c r="A86" s="9" t="s">
        <v>1894</v>
      </c>
      <c r="B86" s="9" t="s">
        <v>428</v>
      </c>
      <c r="C86" s="9" t="s">
        <v>1872</v>
      </c>
      <c r="D86" s="9" t="s">
        <v>1407</v>
      </c>
      <c r="E86" s="9" t="s">
        <v>1873</v>
      </c>
      <c r="F86" s="9"/>
      <c r="G86" s="9" t="s">
        <v>616</v>
      </c>
      <c r="H86" s="9" t="s">
        <v>1893</v>
      </c>
      <c r="I86" s="9" t="s">
        <v>1745</v>
      </c>
      <c r="J86" s="9"/>
      <c r="K86" s="9" t="s">
        <v>1746</v>
      </c>
    </row>
    <row r="87" spans="1:11">
      <c r="A87" s="9" t="s">
        <v>1895</v>
      </c>
      <c r="B87" s="9" t="s">
        <v>1896</v>
      </c>
      <c r="C87" s="9" t="s">
        <v>1872</v>
      </c>
      <c r="D87" s="9" t="s">
        <v>1391</v>
      </c>
      <c r="E87" s="9" t="s">
        <v>1873</v>
      </c>
      <c r="F87" s="9"/>
      <c r="G87" s="9" t="s">
        <v>616</v>
      </c>
      <c r="H87" s="9" t="s">
        <v>1897</v>
      </c>
      <c r="I87" s="9" t="s">
        <v>1745</v>
      </c>
      <c r="J87" s="9"/>
      <c r="K87" s="9" t="s">
        <v>1746</v>
      </c>
    </row>
    <row r="88" spans="1:11">
      <c r="A88" s="9" t="s">
        <v>1898</v>
      </c>
      <c r="B88" s="9" t="s">
        <v>1896</v>
      </c>
      <c r="C88" s="9" t="s">
        <v>1872</v>
      </c>
      <c r="D88" s="9" t="s">
        <v>1407</v>
      </c>
      <c r="E88" s="9" t="s">
        <v>1873</v>
      </c>
      <c r="F88" s="9"/>
      <c r="G88" s="9" t="s">
        <v>616</v>
      </c>
      <c r="H88" s="9" t="s">
        <v>1897</v>
      </c>
      <c r="I88" s="9" t="s">
        <v>1745</v>
      </c>
      <c r="J88" s="9"/>
      <c r="K88" s="9" t="s">
        <v>1746</v>
      </c>
    </row>
    <row r="89" spans="1:11">
      <c r="A89" s="9" t="s">
        <v>1899</v>
      </c>
      <c r="B89" s="9" t="s">
        <v>433</v>
      </c>
      <c r="C89" s="9" t="s">
        <v>1872</v>
      </c>
      <c r="D89" s="9" t="s">
        <v>1402</v>
      </c>
      <c r="E89" s="9" t="s">
        <v>1873</v>
      </c>
      <c r="F89" s="9"/>
      <c r="G89" s="9" t="s">
        <v>616</v>
      </c>
      <c r="H89" s="9" t="s">
        <v>1900</v>
      </c>
      <c r="I89" s="9" t="s">
        <v>1745</v>
      </c>
      <c r="J89" s="9"/>
      <c r="K89" s="9" t="s">
        <v>1746</v>
      </c>
    </row>
    <row r="90" spans="1:11">
      <c r="A90" s="9" t="s">
        <v>1901</v>
      </c>
      <c r="B90" s="9" t="s">
        <v>1902</v>
      </c>
      <c r="C90" s="9" t="s">
        <v>1872</v>
      </c>
      <c r="D90" s="9" t="s">
        <v>1402</v>
      </c>
      <c r="E90" s="9" t="s">
        <v>1873</v>
      </c>
      <c r="F90" s="9"/>
      <c r="G90" s="9" t="s">
        <v>616</v>
      </c>
      <c r="H90" s="9" t="s">
        <v>1903</v>
      </c>
      <c r="I90" s="9" t="s">
        <v>1745</v>
      </c>
      <c r="J90" s="9"/>
      <c r="K90" s="9" t="s">
        <v>1746</v>
      </c>
    </row>
    <row r="91" spans="1:11">
      <c r="A91" s="9" t="s">
        <v>1904</v>
      </c>
      <c r="B91" s="9" t="s">
        <v>456</v>
      </c>
      <c r="C91" s="9" t="s">
        <v>543</v>
      </c>
      <c r="D91" s="9" t="s">
        <v>554</v>
      </c>
      <c r="E91" s="9" t="s">
        <v>1742</v>
      </c>
      <c r="F91" s="9" t="s">
        <v>1905</v>
      </c>
      <c r="G91" s="9" t="s">
        <v>1906</v>
      </c>
      <c r="H91" s="9" t="s">
        <v>1907</v>
      </c>
      <c r="I91" s="9" t="s">
        <v>1745</v>
      </c>
      <c r="J91" s="9"/>
      <c r="K91" s="9" t="s">
        <v>1746</v>
      </c>
    </row>
    <row r="92" spans="1:11">
      <c r="A92" s="9" t="s">
        <v>1908</v>
      </c>
      <c r="B92" s="9" t="s">
        <v>456</v>
      </c>
      <c r="C92" s="9" t="s">
        <v>543</v>
      </c>
      <c r="D92" s="9" t="s">
        <v>1402</v>
      </c>
      <c r="E92" s="9" t="s">
        <v>1742</v>
      </c>
      <c r="F92" s="9" t="s">
        <v>1905</v>
      </c>
      <c r="G92" s="9" t="s">
        <v>1906</v>
      </c>
      <c r="H92" s="9" t="s">
        <v>1907</v>
      </c>
      <c r="I92" s="9" t="s">
        <v>1745</v>
      </c>
      <c r="J92" s="9"/>
      <c r="K92" s="9" t="s">
        <v>1746</v>
      </c>
    </row>
    <row r="93" spans="1:11">
      <c r="A93" s="9" t="s">
        <v>1909</v>
      </c>
      <c r="B93" s="9" t="s">
        <v>444</v>
      </c>
      <c r="C93" s="9" t="s">
        <v>543</v>
      </c>
      <c r="D93" s="9" t="s">
        <v>554</v>
      </c>
      <c r="E93" s="9" t="s">
        <v>1742</v>
      </c>
      <c r="F93" s="9" t="s">
        <v>456</v>
      </c>
      <c r="G93" s="9" t="s">
        <v>1910</v>
      </c>
      <c r="H93" s="9" t="s">
        <v>1911</v>
      </c>
      <c r="I93" s="9" t="s">
        <v>1745</v>
      </c>
      <c r="J93" s="9"/>
      <c r="K93" s="9" t="s">
        <v>1746</v>
      </c>
    </row>
    <row r="94" spans="1:11">
      <c r="A94" s="9" t="s">
        <v>1912</v>
      </c>
      <c r="B94" s="9" t="s">
        <v>444</v>
      </c>
      <c r="C94" s="9" t="s">
        <v>543</v>
      </c>
      <c r="D94" s="9" t="s">
        <v>1580</v>
      </c>
      <c r="E94" s="9" t="s">
        <v>1742</v>
      </c>
      <c r="F94" s="9" t="s">
        <v>456</v>
      </c>
      <c r="G94" s="9" t="s">
        <v>1910</v>
      </c>
      <c r="H94" s="9" t="s">
        <v>1911</v>
      </c>
      <c r="I94" s="9" t="s">
        <v>1745</v>
      </c>
      <c r="J94" s="9"/>
      <c r="K94" s="9" t="s">
        <v>1746</v>
      </c>
    </row>
    <row r="95" spans="1:11">
      <c r="A95" s="9" t="s">
        <v>1913</v>
      </c>
      <c r="B95" s="9" t="s">
        <v>439</v>
      </c>
      <c r="C95" s="9" t="s">
        <v>543</v>
      </c>
      <c r="D95" s="9" t="s">
        <v>554</v>
      </c>
      <c r="E95" s="9" t="s">
        <v>1742</v>
      </c>
      <c r="F95" s="9" t="s">
        <v>456</v>
      </c>
      <c r="G95" s="9" t="s">
        <v>1914</v>
      </c>
      <c r="H95" s="9" t="s">
        <v>1915</v>
      </c>
      <c r="I95" s="9" t="s">
        <v>1745</v>
      </c>
      <c r="J95" s="9"/>
      <c r="K95" s="9" t="s">
        <v>1746</v>
      </c>
    </row>
    <row r="96" spans="1:11">
      <c r="A96" s="9" t="s">
        <v>1916</v>
      </c>
      <c r="B96" s="9" t="s">
        <v>439</v>
      </c>
      <c r="C96" s="9" t="s">
        <v>543</v>
      </c>
      <c r="D96" s="9" t="s">
        <v>1402</v>
      </c>
      <c r="E96" s="9" t="s">
        <v>1742</v>
      </c>
      <c r="F96" s="9" t="s">
        <v>456</v>
      </c>
      <c r="G96" s="9" t="s">
        <v>1914</v>
      </c>
      <c r="H96" s="9" t="s">
        <v>1915</v>
      </c>
      <c r="I96" s="9" t="s">
        <v>1745</v>
      </c>
      <c r="J96" s="9"/>
      <c r="K96" s="9" t="s">
        <v>1746</v>
      </c>
    </row>
    <row r="97" spans="1:11">
      <c r="A97" s="9" t="s">
        <v>1917</v>
      </c>
      <c r="B97" s="9" t="s">
        <v>564</v>
      </c>
      <c r="C97" s="9" t="s">
        <v>543</v>
      </c>
      <c r="D97" s="9" t="s">
        <v>1580</v>
      </c>
      <c r="E97" s="9" t="s">
        <v>1742</v>
      </c>
      <c r="F97" s="9" t="s">
        <v>1918</v>
      </c>
      <c r="G97" s="9" t="s">
        <v>1919</v>
      </c>
      <c r="H97" s="9" t="s">
        <v>1920</v>
      </c>
      <c r="I97" s="9" t="s">
        <v>1745</v>
      </c>
      <c r="J97" s="9"/>
      <c r="K97" s="9" t="s">
        <v>1746</v>
      </c>
    </row>
    <row r="98" spans="1:11">
      <c r="A98" s="9" t="s">
        <v>1921</v>
      </c>
      <c r="B98" s="9" t="s">
        <v>448</v>
      </c>
      <c r="C98" s="9" t="s">
        <v>543</v>
      </c>
      <c r="D98" s="9" t="s">
        <v>1591</v>
      </c>
      <c r="E98" s="9" t="s">
        <v>1742</v>
      </c>
      <c r="F98" s="9"/>
      <c r="G98" s="9" t="s">
        <v>1922</v>
      </c>
      <c r="H98" s="9" t="s">
        <v>1923</v>
      </c>
      <c r="I98" s="9" t="s">
        <v>1745</v>
      </c>
      <c r="J98" s="9"/>
      <c r="K98" s="9" t="s">
        <v>1746</v>
      </c>
    </row>
    <row r="99" spans="1:11">
      <c r="A99" s="9" t="s">
        <v>1924</v>
      </c>
      <c r="B99" s="9" t="s">
        <v>464</v>
      </c>
      <c r="C99" s="9" t="s">
        <v>543</v>
      </c>
      <c r="D99" s="9" t="s">
        <v>554</v>
      </c>
      <c r="E99" s="9" t="s">
        <v>1742</v>
      </c>
      <c r="F99" s="9" t="s">
        <v>569</v>
      </c>
      <c r="G99" s="9"/>
      <c r="H99" s="9" t="s">
        <v>1925</v>
      </c>
      <c r="I99" s="9" t="s">
        <v>1745</v>
      </c>
      <c r="J99" s="9"/>
      <c r="K99" s="9" t="s">
        <v>1746</v>
      </c>
    </row>
    <row r="100" spans="1:11">
      <c r="A100" s="11" t="str">
        <f>IF(OR(B100="",D100=""),"","RL-NEW-"&amp;TEXT(ROW()-99,"000"))</f>
        <v/>
      </c>
      <c r="B100" s="10"/>
      <c r="C100" s="11"/>
      <c r="D100" s="10"/>
      <c r="E100" s="10"/>
      <c r="F100" s="11"/>
      <c r="G100" s="11"/>
      <c r="H100" s="11"/>
      <c r="I100" s="10" t="s">
        <v>1926</v>
      </c>
      <c r="J100" s="10"/>
      <c r="K100" s="11"/>
    </row>
    <row r="101" spans="1:11">
      <c r="A101" s="11" t="str">
        <f>IF(OR(B101="",D101=""),"","RL-NEW-"&amp;TEXT(ROW()-99,"000"))</f>
        <v/>
      </c>
      <c r="B101" s="10"/>
      <c r="C101" s="11"/>
      <c r="D101" s="10"/>
      <c r="E101" s="10"/>
      <c r="F101" s="11"/>
      <c r="G101" s="11"/>
      <c r="H101" s="11"/>
      <c r="I101" s="10" t="s">
        <v>1926</v>
      </c>
      <c r="J101" s="10"/>
      <c r="K101" s="11"/>
    </row>
    <row r="102" spans="1:11">
      <c r="A102" s="11" t="str">
        <f>IF(OR(B102="",D102=""),"","RL-NEW-"&amp;TEXT(ROW()-99,"000"))</f>
        <v/>
      </c>
      <c r="B102" s="10"/>
      <c r="C102" s="11"/>
      <c r="D102" s="10"/>
      <c r="E102" s="10"/>
      <c r="F102" s="11"/>
      <c r="G102" s="11"/>
      <c r="H102" s="11"/>
      <c r="I102" s="10" t="s">
        <v>1926</v>
      </c>
      <c r="J102" s="10"/>
      <c r="K102" s="11"/>
    </row>
    <row r="103" spans="1:11">
      <c r="A103" s="11" t="str">
        <f>IF(OR(B103="",D103=""),"","RL-NEW-"&amp;TEXT(ROW()-99,"000"))</f>
        <v/>
      </c>
      <c r="B103" s="10"/>
      <c r="C103" s="11"/>
      <c r="D103" s="10"/>
      <c r="E103" s="10"/>
      <c r="F103" s="11"/>
      <c r="G103" s="11"/>
      <c r="H103" s="11"/>
      <c r="I103" s="10" t="s">
        <v>1926</v>
      </c>
      <c r="J103" s="10"/>
      <c r="K103" s="11"/>
    </row>
    <row r="104" spans="1:11">
      <c r="A104" s="11" t="str">
        <f>IF(OR(B104="",D104=""),"","RL-NEW-"&amp;TEXT(ROW()-99,"000"))</f>
        <v/>
      </c>
      <c r="B104" s="10"/>
      <c r="C104" s="11"/>
      <c r="D104" s="10"/>
      <c r="E104" s="10"/>
      <c r="F104" s="11"/>
      <c r="G104" s="11"/>
      <c r="H104" s="11"/>
      <c r="I104" s="10" t="s">
        <v>1926</v>
      </c>
      <c r="J104" s="10"/>
      <c r="K104" s="11"/>
    </row>
    <row r="105" spans="1:11">
      <c r="A105" s="11" t="str">
        <f>IF(OR(B105="",D105=""),"","RL-NEW-"&amp;TEXT(ROW()-99,"000"))</f>
        <v/>
      </c>
      <c r="B105" s="10"/>
      <c r="C105" s="11"/>
      <c r="D105" s="10"/>
      <c r="E105" s="10"/>
      <c r="F105" s="11"/>
      <c r="G105" s="11"/>
      <c r="H105" s="11"/>
      <c r="I105" s="10" t="s">
        <v>1926</v>
      </c>
      <c r="J105" s="10"/>
      <c r="K105" s="11"/>
    </row>
    <row r="106" spans="1:11">
      <c r="A106" s="11" t="str">
        <f>IF(OR(B106="",D106=""),"","RL-NEW-"&amp;TEXT(ROW()-99,"000"))</f>
        <v/>
      </c>
      <c r="B106" s="10"/>
      <c r="C106" s="11"/>
      <c r="D106" s="10"/>
      <c r="E106" s="10"/>
      <c r="F106" s="11"/>
      <c r="G106" s="11"/>
      <c r="H106" s="11"/>
      <c r="I106" s="10" t="s">
        <v>1926</v>
      </c>
      <c r="J106" s="10"/>
      <c r="K106" s="11"/>
    </row>
    <row r="107" spans="1:11">
      <c r="A107" s="11" t="str">
        <f>IF(OR(B107="",D107=""),"","RL-NEW-"&amp;TEXT(ROW()-99,"000"))</f>
        <v/>
      </c>
      <c r="B107" s="10"/>
      <c r="C107" s="11"/>
      <c r="D107" s="10"/>
      <c r="E107" s="10"/>
      <c r="F107" s="11"/>
      <c r="G107" s="11"/>
      <c r="H107" s="11"/>
      <c r="I107" s="10" t="s">
        <v>1926</v>
      </c>
      <c r="J107" s="10"/>
      <c r="K107" s="11"/>
    </row>
    <row r="108" spans="1:11">
      <c r="A108" s="11" t="str">
        <f>IF(OR(B108="",D108=""),"","RL-NEW-"&amp;TEXT(ROW()-99,"000"))</f>
        <v/>
      </c>
      <c r="B108" s="10"/>
      <c r="C108" s="11"/>
      <c r="D108" s="10"/>
      <c r="E108" s="10"/>
      <c r="F108" s="11"/>
      <c r="G108" s="11"/>
      <c r="H108" s="11"/>
      <c r="I108" s="10" t="s">
        <v>1926</v>
      </c>
      <c r="J108" s="10"/>
      <c r="K108" s="11"/>
    </row>
    <row r="109" spans="1:11">
      <c r="A109" s="11" t="str">
        <f>IF(OR(B109="",D109=""),"","RL-NEW-"&amp;TEXT(ROW()-99,"000"))</f>
        <v/>
      </c>
      <c r="B109" s="10"/>
      <c r="C109" s="11"/>
      <c r="D109" s="10"/>
      <c r="E109" s="10"/>
      <c r="F109" s="11"/>
      <c r="G109" s="11"/>
      <c r="H109" s="11"/>
      <c r="I109" s="10" t="s">
        <v>1926</v>
      </c>
      <c r="J109" s="10"/>
      <c r="K109" s="11"/>
    </row>
    <row r="110" spans="1:11">
      <c r="A110" s="11" t="str">
        <f>IF(OR(B110="",D110=""),"","RL-NEW-"&amp;TEXT(ROW()-99,"000"))</f>
        <v/>
      </c>
      <c r="B110" s="10"/>
      <c r="C110" s="11"/>
      <c r="D110" s="10"/>
      <c r="E110" s="10"/>
      <c r="F110" s="11"/>
      <c r="G110" s="11"/>
      <c r="H110" s="11"/>
      <c r="I110" s="10" t="s">
        <v>1926</v>
      </c>
      <c r="J110" s="10"/>
      <c r="K110" s="11"/>
    </row>
    <row r="111" spans="1:11">
      <c r="A111" s="11" t="str">
        <f>IF(OR(B111="",D111=""),"","RL-NEW-"&amp;TEXT(ROW()-99,"000"))</f>
        <v/>
      </c>
      <c r="B111" s="10"/>
      <c r="C111" s="11"/>
      <c r="D111" s="10"/>
      <c r="E111" s="10"/>
      <c r="F111" s="11"/>
      <c r="G111" s="11"/>
      <c r="H111" s="11"/>
      <c r="I111" s="10" t="s">
        <v>1926</v>
      </c>
      <c r="J111" s="10"/>
      <c r="K111" s="11"/>
    </row>
    <row r="112" spans="1:11">
      <c r="A112" s="11" t="str">
        <f>IF(OR(B112="",D112=""),"","RL-NEW-"&amp;TEXT(ROW()-99,"000"))</f>
        <v/>
      </c>
      <c r="B112" s="10"/>
      <c r="C112" s="11"/>
      <c r="D112" s="10"/>
      <c r="E112" s="10"/>
      <c r="F112" s="11"/>
      <c r="G112" s="11"/>
      <c r="H112" s="11"/>
      <c r="I112" s="10" t="s">
        <v>1926</v>
      </c>
      <c r="J112" s="10"/>
      <c r="K112" s="11"/>
    </row>
    <row r="113" spans="1:11">
      <c r="A113" s="11" t="str">
        <f>IF(OR(B113="",D113=""),"","RL-NEW-"&amp;TEXT(ROW()-99,"000"))</f>
        <v/>
      </c>
      <c r="B113" s="10"/>
      <c r="C113" s="11"/>
      <c r="D113" s="10"/>
      <c r="E113" s="10"/>
      <c r="F113" s="11"/>
      <c r="G113" s="11"/>
      <c r="H113" s="11"/>
      <c r="I113" s="10" t="s">
        <v>1926</v>
      </c>
      <c r="J113" s="10"/>
      <c r="K113" s="11"/>
    </row>
    <row r="114" spans="1:11">
      <c r="A114" s="11" t="str">
        <f>IF(OR(B114="",D114=""),"","RL-NEW-"&amp;TEXT(ROW()-99,"000"))</f>
        <v/>
      </c>
      <c r="B114" s="10"/>
      <c r="C114" s="11"/>
      <c r="D114" s="10"/>
      <c r="E114" s="10"/>
      <c r="F114" s="11"/>
      <c r="G114" s="11"/>
      <c r="H114" s="11"/>
      <c r="I114" s="10" t="s">
        <v>1926</v>
      </c>
      <c r="J114" s="10"/>
      <c r="K114" s="11"/>
    </row>
    <row r="115" spans="1:11">
      <c r="A115" s="11" t="str">
        <f>IF(OR(B115="",D115=""),"","RL-NEW-"&amp;TEXT(ROW()-99,"000"))</f>
        <v/>
      </c>
      <c r="B115" s="10"/>
      <c r="C115" s="11"/>
      <c r="D115" s="10"/>
      <c r="E115" s="10"/>
      <c r="F115" s="11"/>
      <c r="G115" s="11"/>
      <c r="H115" s="11"/>
      <c r="I115" s="10" t="s">
        <v>1926</v>
      </c>
      <c r="J115" s="10"/>
      <c r="K115" s="11"/>
    </row>
    <row r="116" spans="1:11">
      <c r="A116" s="11" t="str">
        <f>IF(OR(B116="",D116=""),"","RL-NEW-"&amp;TEXT(ROW()-99,"000"))</f>
        <v/>
      </c>
      <c r="B116" s="10"/>
      <c r="C116" s="11"/>
      <c r="D116" s="10"/>
      <c r="E116" s="10"/>
      <c r="F116" s="11"/>
      <c r="G116" s="11"/>
      <c r="H116" s="11"/>
      <c r="I116" s="10" t="s">
        <v>1926</v>
      </c>
      <c r="J116" s="10"/>
      <c r="K116" s="11"/>
    </row>
    <row r="117" spans="1:11">
      <c r="A117" s="11" t="str">
        <f>IF(OR(B117="",D117=""),"","RL-NEW-"&amp;TEXT(ROW()-99,"000"))</f>
        <v/>
      </c>
      <c r="B117" s="10"/>
      <c r="C117" s="11"/>
      <c r="D117" s="10"/>
      <c r="E117" s="10"/>
      <c r="F117" s="11"/>
      <c r="G117" s="11"/>
      <c r="H117" s="11"/>
      <c r="I117" s="10" t="s">
        <v>1926</v>
      </c>
      <c r="J117" s="10"/>
      <c r="K117" s="11"/>
    </row>
    <row r="118" spans="1:11">
      <c r="A118" s="11" t="str">
        <f>IF(OR(B118="",D118=""),"","RL-NEW-"&amp;TEXT(ROW()-99,"000"))</f>
        <v/>
      </c>
      <c r="B118" s="10"/>
      <c r="C118" s="11"/>
      <c r="D118" s="10"/>
      <c r="E118" s="10"/>
      <c r="F118" s="11"/>
      <c r="G118" s="11"/>
      <c r="H118" s="11"/>
      <c r="I118" s="10" t="s">
        <v>1926</v>
      </c>
      <c r="J118" s="10"/>
      <c r="K118" s="11"/>
    </row>
    <row r="119" spans="1:11">
      <c r="A119" s="11" t="str">
        <f>IF(OR(B119="",D119=""),"","RL-NEW-"&amp;TEXT(ROW()-99,"000"))</f>
        <v/>
      </c>
      <c r="B119" s="10"/>
      <c r="C119" s="11"/>
      <c r="D119" s="10"/>
      <c r="E119" s="10"/>
      <c r="F119" s="11"/>
      <c r="G119" s="11"/>
      <c r="H119" s="11"/>
      <c r="I119" s="10" t="s">
        <v>1926</v>
      </c>
      <c r="J119" s="10"/>
      <c r="K119" s="11"/>
    </row>
    <row r="120" spans="1:11">
      <c r="A120" s="11" t="str">
        <f>IF(OR(B120="",D120=""),"","RL-NEW-"&amp;TEXT(ROW()-99,"000"))</f>
        <v/>
      </c>
      <c r="B120" s="10"/>
      <c r="C120" s="11"/>
      <c r="D120" s="10"/>
      <c r="E120" s="10"/>
      <c r="F120" s="11"/>
      <c r="G120" s="11"/>
      <c r="H120" s="11"/>
      <c r="I120" s="10" t="s">
        <v>1926</v>
      </c>
      <c r="J120" s="10"/>
      <c r="K120" s="11"/>
    </row>
    <row r="121" spans="1:11">
      <c r="A121" s="11" t="str">
        <f>IF(OR(B121="",D121=""),"","RL-NEW-"&amp;TEXT(ROW()-99,"000"))</f>
        <v/>
      </c>
      <c r="B121" s="10"/>
      <c r="C121" s="11"/>
      <c r="D121" s="10"/>
      <c r="E121" s="10"/>
      <c r="F121" s="11"/>
      <c r="G121" s="11"/>
      <c r="H121" s="11"/>
      <c r="I121" s="10" t="s">
        <v>1926</v>
      </c>
      <c r="J121" s="10"/>
      <c r="K121" s="11"/>
    </row>
    <row r="122" spans="1:11">
      <c r="A122" s="11" t="str">
        <f>IF(OR(B122="",D122=""),"","RL-NEW-"&amp;TEXT(ROW()-99,"000"))</f>
        <v/>
      </c>
      <c r="B122" s="10"/>
      <c r="C122" s="11"/>
      <c r="D122" s="10"/>
      <c r="E122" s="10"/>
      <c r="F122" s="11"/>
      <c r="G122" s="11"/>
      <c r="H122" s="11"/>
      <c r="I122" s="10" t="s">
        <v>1926</v>
      </c>
      <c r="J122" s="10"/>
      <c r="K122" s="11"/>
    </row>
    <row r="123" spans="1:11">
      <c r="A123" s="11" t="str">
        <f>IF(OR(B123="",D123=""),"","RL-NEW-"&amp;TEXT(ROW()-99,"000"))</f>
        <v/>
      </c>
      <c r="B123" s="10"/>
      <c r="C123" s="11"/>
      <c r="D123" s="10"/>
      <c r="E123" s="10"/>
      <c r="F123" s="11"/>
      <c r="G123" s="11"/>
      <c r="H123" s="11"/>
      <c r="I123" s="10" t="s">
        <v>1926</v>
      </c>
      <c r="J123" s="10"/>
      <c r="K123" s="11"/>
    </row>
    <row r="124" spans="1:11">
      <c r="A124" s="11" t="str">
        <f>IF(OR(B124="",D124=""),"","RL-NEW-"&amp;TEXT(ROW()-99,"000"))</f>
        <v/>
      </c>
      <c r="B124" s="10"/>
      <c r="C124" s="11"/>
      <c r="D124" s="10"/>
      <c r="E124" s="10"/>
      <c r="F124" s="11"/>
      <c r="G124" s="11"/>
      <c r="H124" s="11"/>
      <c r="I124" s="10" t="s">
        <v>1926</v>
      </c>
      <c r="J124" s="10"/>
      <c r="K124" s="11"/>
    </row>
    <row r="125" spans="1:11">
      <c r="A125" s="11" t="str">
        <f>IF(OR(B125="",D125=""),"","RL-NEW-"&amp;TEXT(ROW()-99,"000"))</f>
        <v/>
      </c>
      <c r="B125" s="10"/>
      <c r="C125" s="11"/>
      <c r="D125" s="10"/>
      <c r="E125" s="10"/>
      <c r="F125" s="11"/>
      <c r="G125" s="11"/>
      <c r="H125" s="11"/>
      <c r="I125" s="10" t="s">
        <v>1926</v>
      </c>
      <c r="J125" s="10"/>
      <c r="K125" s="11"/>
    </row>
    <row r="126" spans="1:11">
      <c r="A126" s="11" t="str">
        <f>IF(OR(B126="",D126=""),"","RL-NEW-"&amp;TEXT(ROW()-99,"000"))</f>
        <v/>
      </c>
      <c r="B126" s="10"/>
      <c r="C126" s="11"/>
      <c r="D126" s="10"/>
      <c r="E126" s="10"/>
      <c r="F126" s="11"/>
      <c r="G126" s="11"/>
      <c r="H126" s="11"/>
      <c r="I126" s="10" t="s">
        <v>1926</v>
      </c>
      <c r="J126" s="10"/>
      <c r="K126" s="11"/>
    </row>
    <row r="127" spans="1:11">
      <c r="A127" s="11" t="str">
        <f>IF(OR(B127="",D127=""),"","RL-NEW-"&amp;TEXT(ROW()-99,"000"))</f>
        <v/>
      </c>
      <c r="B127" s="10"/>
      <c r="C127" s="11"/>
      <c r="D127" s="10"/>
      <c r="E127" s="10"/>
      <c r="F127" s="11"/>
      <c r="G127" s="11"/>
      <c r="H127" s="11"/>
      <c r="I127" s="10" t="s">
        <v>1926</v>
      </c>
      <c r="J127" s="10"/>
      <c r="K127" s="11"/>
    </row>
    <row r="128" spans="1:11">
      <c r="A128" s="11" t="str">
        <f>IF(OR(B128="",D128=""),"","RL-NEW-"&amp;TEXT(ROW()-99,"000"))</f>
        <v/>
      </c>
      <c r="B128" s="10"/>
      <c r="C128" s="11"/>
      <c r="D128" s="10"/>
      <c r="E128" s="10"/>
      <c r="F128" s="11"/>
      <c r="G128" s="11"/>
      <c r="H128" s="11"/>
      <c r="I128" s="10" t="s">
        <v>1926</v>
      </c>
      <c r="J128" s="10"/>
      <c r="K128" s="11"/>
    </row>
    <row r="129" spans="1:11">
      <c r="A129" s="11" t="str">
        <f>IF(OR(B129="",D129=""),"","RL-NEW-"&amp;TEXT(ROW()-99,"000"))</f>
        <v/>
      </c>
      <c r="B129" s="10"/>
      <c r="C129" s="11"/>
      <c r="D129" s="10"/>
      <c r="E129" s="10"/>
      <c r="F129" s="11"/>
      <c r="G129" s="11"/>
      <c r="H129" s="11"/>
      <c r="I129" s="10" t="s">
        <v>1926</v>
      </c>
      <c r="J129" s="10"/>
      <c r="K129" s="11"/>
    </row>
    <row r="130" spans="1:11">
      <c r="A130" s="11" t="str">
        <f>IF(OR(B130="",D130=""),"","RL-NEW-"&amp;TEXT(ROW()-99,"000"))</f>
        <v/>
      </c>
      <c r="B130" s="10"/>
      <c r="C130" s="11"/>
      <c r="D130" s="10"/>
      <c r="E130" s="10"/>
      <c r="F130" s="11"/>
      <c r="G130" s="11"/>
      <c r="H130" s="11"/>
      <c r="I130" s="10" t="s">
        <v>1926</v>
      </c>
      <c r="J130" s="10"/>
      <c r="K130" s="11"/>
    </row>
    <row r="131" spans="1:11">
      <c r="A131" s="11" t="str">
        <f>IF(OR(B131="",D131=""),"","RL-NEW-"&amp;TEXT(ROW()-99,"000"))</f>
        <v/>
      </c>
      <c r="B131" s="10"/>
      <c r="C131" s="11"/>
      <c r="D131" s="10"/>
      <c r="E131" s="10"/>
      <c r="F131" s="11"/>
      <c r="G131" s="11"/>
      <c r="H131" s="11"/>
      <c r="I131" s="10" t="s">
        <v>1926</v>
      </c>
      <c r="J131" s="10"/>
      <c r="K131" s="11"/>
    </row>
    <row r="132" spans="1:11">
      <c r="A132" s="11" t="str">
        <f>IF(OR(B132="",D132=""),"","RL-NEW-"&amp;TEXT(ROW()-99,"000"))</f>
        <v/>
      </c>
      <c r="B132" s="10"/>
      <c r="C132" s="11"/>
      <c r="D132" s="10"/>
      <c r="E132" s="10"/>
      <c r="F132" s="11"/>
      <c r="G132" s="11"/>
      <c r="H132" s="11"/>
      <c r="I132" s="10" t="s">
        <v>1926</v>
      </c>
      <c r="J132" s="10"/>
      <c r="K132" s="11"/>
    </row>
    <row r="133" spans="1:11">
      <c r="A133" s="11" t="str">
        <f>IF(OR(B133="",D133=""),"","RL-NEW-"&amp;TEXT(ROW()-99,"000"))</f>
        <v/>
      </c>
      <c r="B133" s="10"/>
      <c r="C133" s="11"/>
      <c r="D133" s="10"/>
      <c r="E133" s="10"/>
      <c r="F133" s="11"/>
      <c r="G133" s="11"/>
      <c r="H133" s="11"/>
      <c r="I133" s="10" t="s">
        <v>1926</v>
      </c>
      <c r="J133" s="10"/>
      <c r="K133" s="11"/>
    </row>
    <row r="134" spans="1:11">
      <c r="A134" s="11" t="str">
        <f>IF(OR(B134="",D134=""),"","RL-NEW-"&amp;TEXT(ROW()-99,"000"))</f>
        <v/>
      </c>
      <c r="B134" s="10"/>
      <c r="C134" s="11"/>
      <c r="D134" s="10"/>
      <c r="E134" s="10"/>
      <c r="F134" s="11"/>
      <c r="G134" s="11"/>
      <c r="H134" s="11"/>
      <c r="I134" s="10" t="s">
        <v>1926</v>
      </c>
      <c r="J134" s="10"/>
      <c r="K134" s="11"/>
    </row>
    <row r="135" spans="1:11">
      <c r="A135" s="11" t="str">
        <f>IF(OR(B135="",D135=""),"","RL-NEW-"&amp;TEXT(ROW()-99,"000"))</f>
        <v/>
      </c>
      <c r="B135" s="10"/>
      <c r="C135" s="11"/>
      <c r="D135" s="10"/>
      <c r="E135" s="10"/>
      <c r="F135" s="11"/>
      <c r="G135" s="11"/>
      <c r="H135" s="11"/>
      <c r="I135" s="10" t="s">
        <v>1926</v>
      </c>
      <c r="J135" s="10"/>
      <c r="K135" s="11"/>
    </row>
    <row r="136" spans="1:11">
      <c r="A136" s="11" t="str">
        <f>IF(OR(B136="",D136=""),"","RL-NEW-"&amp;TEXT(ROW()-99,"000"))</f>
        <v/>
      </c>
      <c r="B136" s="10"/>
      <c r="C136" s="11"/>
      <c r="D136" s="10"/>
      <c r="E136" s="10"/>
      <c r="F136" s="11"/>
      <c r="G136" s="11"/>
      <c r="H136" s="11"/>
      <c r="I136" s="10" t="s">
        <v>1926</v>
      </c>
      <c r="J136" s="10"/>
      <c r="K136" s="11"/>
    </row>
    <row r="137" spans="1:11">
      <c r="A137" s="11" t="str">
        <f>IF(OR(B137="",D137=""),"","RL-NEW-"&amp;TEXT(ROW()-99,"000"))</f>
        <v/>
      </c>
      <c r="B137" s="10"/>
      <c r="C137" s="11"/>
      <c r="D137" s="10"/>
      <c r="E137" s="10"/>
      <c r="F137" s="11"/>
      <c r="G137" s="11"/>
      <c r="H137" s="11"/>
      <c r="I137" s="10" t="s">
        <v>1926</v>
      </c>
      <c r="J137" s="10"/>
      <c r="K137" s="11"/>
    </row>
    <row r="138" spans="1:11">
      <c r="A138" s="11" t="str">
        <f>IF(OR(B138="",D138=""),"","RL-NEW-"&amp;TEXT(ROW()-99,"000"))</f>
        <v/>
      </c>
      <c r="B138" s="10"/>
      <c r="C138" s="11"/>
      <c r="D138" s="10"/>
      <c r="E138" s="10"/>
      <c r="F138" s="11"/>
      <c r="G138" s="11"/>
      <c r="H138" s="11"/>
      <c r="I138" s="10" t="s">
        <v>1926</v>
      </c>
      <c r="J138" s="10"/>
      <c r="K138" s="11"/>
    </row>
    <row r="139" spans="1:11">
      <c r="A139" s="11" t="str">
        <f>IF(OR(B139="",D139=""),"","RL-NEW-"&amp;TEXT(ROW()-99,"000"))</f>
        <v/>
      </c>
      <c r="B139" s="10"/>
      <c r="C139" s="11"/>
      <c r="D139" s="10"/>
      <c r="E139" s="10"/>
      <c r="F139" s="11"/>
      <c r="G139" s="11"/>
      <c r="H139" s="11"/>
      <c r="I139" s="10" t="s">
        <v>1926</v>
      </c>
      <c r="J139" s="10"/>
      <c r="K139" s="11"/>
    </row>
    <row r="140" spans="1:11">
      <c r="A140" s="11" t="str">
        <f>IF(OR(B140="",D140=""),"","RL-NEW-"&amp;TEXT(ROW()-99,"000"))</f>
        <v/>
      </c>
      <c r="B140" s="10"/>
      <c r="C140" s="11"/>
      <c r="D140" s="10"/>
      <c r="E140" s="10"/>
      <c r="F140" s="11"/>
      <c r="G140" s="11"/>
      <c r="H140" s="11"/>
      <c r="I140" s="10" t="s">
        <v>1926</v>
      </c>
      <c r="J140" s="10"/>
      <c r="K140" s="11"/>
    </row>
    <row r="141" spans="1:11">
      <c r="A141" s="11" t="str">
        <f>IF(OR(B141="",D141=""),"","RL-NEW-"&amp;TEXT(ROW()-99,"000"))</f>
        <v/>
      </c>
      <c r="B141" s="10"/>
      <c r="C141" s="11"/>
      <c r="D141" s="10"/>
      <c r="E141" s="10"/>
      <c r="F141" s="11"/>
      <c r="G141" s="11"/>
      <c r="H141" s="11"/>
      <c r="I141" s="10" t="s">
        <v>1926</v>
      </c>
      <c r="J141" s="10"/>
      <c r="K141" s="11"/>
    </row>
    <row r="142" spans="1:11">
      <c r="A142" s="11" t="str">
        <f>IF(OR(B142="",D142=""),"","RL-NEW-"&amp;TEXT(ROW()-99,"000"))</f>
        <v/>
      </c>
      <c r="B142" s="10"/>
      <c r="C142" s="11"/>
      <c r="D142" s="10"/>
      <c r="E142" s="10"/>
      <c r="F142" s="11"/>
      <c r="G142" s="11"/>
      <c r="H142" s="11"/>
      <c r="I142" s="10" t="s">
        <v>1926</v>
      </c>
      <c r="J142" s="10"/>
      <c r="K142" s="11"/>
    </row>
    <row r="143" spans="1:11">
      <c r="A143" s="11" t="str">
        <f>IF(OR(B143="",D143=""),"","RL-NEW-"&amp;TEXT(ROW()-99,"000"))</f>
        <v/>
      </c>
      <c r="B143" s="10"/>
      <c r="C143" s="11"/>
      <c r="D143" s="10"/>
      <c r="E143" s="10"/>
      <c r="F143" s="11"/>
      <c r="G143" s="11"/>
      <c r="H143" s="11"/>
      <c r="I143" s="10" t="s">
        <v>1926</v>
      </c>
      <c r="J143" s="10"/>
      <c r="K143" s="11"/>
    </row>
    <row r="144" spans="1:11">
      <c r="A144" s="11" t="str">
        <f>IF(OR(B144="",D144=""),"","RL-NEW-"&amp;TEXT(ROW()-99,"000"))</f>
        <v/>
      </c>
      <c r="B144" s="10"/>
      <c r="C144" s="11"/>
      <c r="D144" s="10"/>
      <c r="E144" s="10"/>
      <c r="F144" s="11"/>
      <c r="G144" s="11"/>
      <c r="H144" s="11"/>
      <c r="I144" s="10" t="s">
        <v>1926</v>
      </c>
      <c r="J144" s="10"/>
      <c r="K144" s="11"/>
    </row>
    <row r="145" spans="1:11">
      <c r="A145" s="11" t="str">
        <f>IF(OR(B145="",D145=""),"","RL-NEW-"&amp;TEXT(ROW()-99,"000"))</f>
        <v/>
      </c>
      <c r="B145" s="10"/>
      <c r="C145" s="11"/>
      <c r="D145" s="10"/>
      <c r="E145" s="10"/>
      <c r="F145" s="11"/>
      <c r="G145" s="11"/>
      <c r="H145" s="11"/>
      <c r="I145" s="10" t="s">
        <v>1926</v>
      </c>
      <c r="J145" s="10"/>
      <c r="K145" s="11"/>
    </row>
    <row r="146" spans="1:11">
      <c r="A146" s="11" t="str">
        <f>IF(OR(B146="",D146=""),"","RL-NEW-"&amp;TEXT(ROW()-99,"000"))</f>
        <v/>
      </c>
      <c r="B146" s="10"/>
      <c r="C146" s="11"/>
      <c r="D146" s="10"/>
      <c r="E146" s="10"/>
      <c r="F146" s="11"/>
      <c r="G146" s="11"/>
      <c r="H146" s="11"/>
      <c r="I146" s="10" t="s">
        <v>1926</v>
      </c>
      <c r="J146" s="10"/>
      <c r="K146" s="11"/>
    </row>
    <row r="147" spans="1:11">
      <c r="A147" s="11" t="str">
        <f>IF(OR(B147="",D147=""),"","RL-NEW-"&amp;TEXT(ROW()-99,"000"))</f>
        <v/>
      </c>
      <c r="B147" s="10"/>
      <c r="C147" s="11"/>
      <c r="D147" s="10"/>
      <c r="E147" s="10"/>
      <c r="F147" s="11"/>
      <c r="G147" s="11"/>
      <c r="H147" s="11"/>
      <c r="I147" s="10" t="s">
        <v>1926</v>
      </c>
      <c r="J147" s="10"/>
      <c r="K147" s="11"/>
    </row>
    <row r="148" spans="1:11">
      <c r="A148" s="11" t="str">
        <f>IF(OR(B148="",D148=""),"","RL-NEW-"&amp;TEXT(ROW()-99,"000"))</f>
        <v/>
      </c>
      <c r="B148" s="10"/>
      <c r="C148" s="11"/>
      <c r="D148" s="10"/>
      <c r="E148" s="10"/>
      <c r="F148" s="11"/>
      <c r="G148" s="11"/>
      <c r="H148" s="11"/>
      <c r="I148" s="10" t="s">
        <v>1926</v>
      </c>
      <c r="J148" s="10"/>
      <c r="K148" s="11"/>
    </row>
    <row r="149" spans="1:11">
      <c r="A149" s="11" t="str">
        <f>IF(OR(B149="",D149=""),"","RL-NEW-"&amp;TEXT(ROW()-99,"000"))</f>
        <v/>
      </c>
      <c r="B149" s="10"/>
      <c r="C149" s="11"/>
      <c r="D149" s="10"/>
      <c r="E149" s="10"/>
      <c r="F149" s="11"/>
      <c r="G149" s="11"/>
      <c r="H149" s="11"/>
      <c r="I149" s="10" t="s">
        <v>1926</v>
      </c>
      <c r="J149" s="10"/>
      <c r="K149" s="11"/>
    </row>
    <row r="150" spans="1:11">
      <c r="A150" s="11" t="str">
        <f>IF(OR(B150="",D150=""),"","RL-NEW-"&amp;TEXT(ROW()-99,"000"))</f>
        <v/>
      </c>
      <c r="B150" s="10"/>
      <c r="C150" s="11"/>
      <c r="D150" s="10"/>
      <c r="E150" s="10"/>
      <c r="F150" s="11"/>
      <c r="G150" s="11"/>
      <c r="H150" s="11"/>
      <c r="I150" s="10" t="s">
        <v>1926</v>
      </c>
      <c r="J150" s="10"/>
      <c r="K150" s="11"/>
    </row>
    <row r="151" spans="1:11">
      <c r="A151" s="11" t="str">
        <f>IF(OR(B151="",D151=""),"","RL-NEW-"&amp;TEXT(ROW()-99,"000"))</f>
        <v/>
      </c>
      <c r="B151" s="10"/>
      <c r="C151" s="11"/>
      <c r="D151" s="10"/>
      <c r="E151" s="10"/>
      <c r="F151" s="11"/>
      <c r="G151" s="11"/>
      <c r="H151" s="11"/>
      <c r="I151" s="10" t="s">
        <v>1926</v>
      </c>
      <c r="J151" s="10"/>
      <c r="K151" s="11"/>
    </row>
    <row r="152" spans="1:11">
      <c r="A152" s="11" t="str">
        <f>IF(OR(B152="",D152=""),"","RL-NEW-"&amp;TEXT(ROW()-99,"000"))</f>
        <v/>
      </c>
      <c r="B152" s="10"/>
      <c r="C152" s="11"/>
      <c r="D152" s="10"/>
      <c r="E152" s="10"/>
      <c r="F152" s="11"/>
      <c r="G152" s="11"/>
      <c r="H152" s="11"/>
      <c r="I152" s="10" t="s">
        <v>1926</v>
      </c>
      <c r="J152" s="10"/>
      <c r="K152" s="11"/>
    </row>
    <row r="153" spans="1:11">
      <c r="A153" s="11" t="str">
        <f>IF(OR(B153="",D153=""),"","RL-NEW-"&amp;TEXT(ROW()-99,"000"))</f>
        <v/>
      </c>
      <c r="B153" s="10"/>
      <c r="C153" s="11"/>
      <c r="D153" s="10"/>
      <c r="E153" s="10"/>
      <c r="F153" s="11"/>
      <c r="G153" s="11"/>
      <c r="H153" s="11"/>
      <c r="I153" s="10" t="s">
        <v>1926</v>
      </c>
      <c r="J153" s="10"/>
      <c r="K153" s="11"/>
    </row>
    <row r="154" spans="1:11">
      <c r="A154" s="11" t="str">
        <f>IF(OR(B154="",D154=""),"","RL-NEW-"&amp;TEXT(ROW()-99,"000"))</f>
        <v/>
      </c>
      <c r="B154" s="10"/>
      <c r="C154" s="11"/>
      <c r="D154" s="10"/>
      <c r="E154" s="10"/>
      <c r="F154" s="11"/>
      <c r="G154" s="11"/>
      <c r="H154" s="11"/>
      <c r="I154" s="10" t="s">
        <v>1926</v>
      </c>
      <c r="J154" s="10"/>
      <c r="K154" s="11"/>
    </row>
    <row r="155" spans="1:11">
      <c r="A155" s="11" t="str">
        <f>IF(OR(B155="",D155=""),"","RL-NEW-"&amp;TEXT(ROW()-99,"000"))</f>
        <v/>
      </c>
      <c r="B155" s="10"/>
      <c r="C155" s="11"/>
      <c r="D155" s="10"/>
      <c r="E155" s="10"/>
      <c r="F155" s="11"/>
      <c r="G155" s="11"/>
      <c r="H155" s="11"/>
      <c r="I155" s="10" t="s">
        <v>1926</v>
      </c>
      <c r="J155" s="10"/>
      <c r="K155" s="11"/>
    </row>
    <row r="156" spans="1:11">
      <c r="A156" s="11" t="str">
        <f>IF(OR(B156="",D156=""),"","RL-NEW-"&amp;TEXT(ROW()-99,"000"))</f>
        <v/>
      </c>
      <c r="B156" s="10"/>
      <c r="C156" s="11"/>
      <c r="D156" s="10"/>
      <c r="E156" s="10"/>
      <c r="F156" s="11"/>
      <c r="G156" s="11"/>
      <c r="H156" s="11"/>
      <c r="I156" s="10" t="s">
        <v>1926</v>
      </c>
      <c r="J156" s="10"/>
      <c r="K156" s="11"/>
    </row>
    <row r="157" spans="1:11">
      <c r="A157" s="11" t="str">
        <f>IF(OR(B157="",D157=""),"","RL-NEW-"&amp;TEXT(ROW()-99,"000"))</f>
        <v/>
      </c>
      <c r="B157" s="10"/>
      <c r="C157" s="11"/>
      <c r="D157" s="10"/>
      <c r="E157" s="10"/>
      <c r="F157" s="11"/>
      <c r="G157" s="11"/>
      <c r="H157" s="11"/>
      <c r="I157" s="10" t="s">
        <v>1926</v>
      </c>
      <c r="J157" s="10"/>
      <c r="K157" s="11"/>
    </row>
    <row r="158" spans="1:11">
      <c r="A158" s="11" t="str">
        <f>IF(OR(B158="",D158=""),"","RL-NEW-"&amp;TEXT(ROW()-99,"000"))</f>
        <v/>
      </c>
      <c r="B158" s="10"/>
      <c r="C158" s="11"/>
      <c r="D158" s="10"/>
      <c r="E158" s="10"/>
      <c r="F158" s="11"/>
      <c r="G158" s="11"/>
      <c r="H158" s="11"/>
      <c r="I158" s="10" t="s">
        <v>1926</v>
      </c>
      <c r="J158" s="10"/>
      <c r="K158" s="11"/>
    </row>
    <row r="159" spans="1:11">
      <c r="A159" s="11" t="str">
        <f>IF(OR(B159="",D159=""),"","RL-NEW-"&amp;TEXT(ROW()-99,"000"))</f>
        <v/>
      </c>
      <c r="B159" s="10"/>
      <c r="C159" s="11"/>
      <c r="D159" s="10"/>
      <c r="E159" s="10"/>
      <c r="F159" s="11"/>
      <c r="G159" s="11"/>
      <c r="H159" s="11"/>
      <c r="I159" s="10" t="s">
        <v>1926</v>
      </c>
      <c r="J159" s="10"/>
      <c r="K159" s="11"/>
    </row>
    <row r="160" spans="1:11">
      <c r="A160" s="11" t="str">
        <f>IF(OR(B160="",D160=""),"","RL-NEW-"&amp;TEXT(ROW()-99,"000"))</f>
        <v/>
      </c>
      <c r="B160" s="10"/>
      <c r="C160" s="11"/>
      <c r="D160" s="10"/>
      <c r="E160" s="10"/>
      <c r="F160" s="11"/>
      <c r="G160" s="11"/>
      <c r="H160" s="11"/>
      <c r="I160" s="10" t="s">
        <v>1926</v>
      </c>
      <c r="J160" s="10"/>
      <c r="K160" s="11"/>
    </row>
    <row r="161" spans="1:11">
      <c r="A161" s="11" t="str">
        <f>IF(OR(B161="",D161=""),"","RL-NEW-"&amp;TEXT(ROW()-99,"000"))</f>
        <v/>
      </c>
      <c r="B161" s="10"/>
      <c r="C161" s="11"/>
      <c r="D161" s="10"/>
      <c r="E161" s="10"/>
      <c r="F161" s="11"/>
      <c r="G161" s="11"/>
      <c r="H161" s="11"/>
      <c r="I161" s="10" t="s">
        <v>1926</v>
      </c>
      <c r="J161" s="10"/>
      <c r="K161" s="11"/>
    </row>
    <row r="162" spans="1:11">
      <c r="A162" s="11" t="str">
        <f>IF(OR(B162="",D162=""),"","RL-NEW-"&amp;TEXT(ROW()-99,"000"))</f>
        <v/>
      </c>
      <c r="B162" s="10"/>
      <c r="C162" s="11"/>
      <c r="D162" s="10"/>
      <c r="E162" s="10"/>
      <c r="F162" s="11"/>
      <c r="G162" s="11"/>
      <c r="H162" s="11"/>
      <c r="I162" s="10" t="s">
        <v>1926</v>
      </c>
      <c r="J162" s="10"/>
      <c r="K162" s="11"/>
    </row>
    <row r="163" spans="1:11">
      <c r="A163" s="11" t="str">
        <f>IF(OR(B163="",D163=""),"","RL-NEW-"&amp;TEXT(ROW()-99,"000"))</f>
        <v/>
      </c>
      <c r="B163" s="10"/>
      <c r="C163" s="11"/>
      <c r="D163" s="10"/>
      <c r="E163" s="10"/>
      <c r="F163" s="11"/>
      <c r="G163" s="11"/>
      <c r="H163" s="11"/>
      <c r="I163" s="10" t="s">
        <v>1926</v>
      </c>
      <c r="J163" s="10"/>
      <c r="K163" s="11"/>
    </row>
    <row r="164" spans="1:11">
      <c r="A164" s="11" t="str">
        <f>IF(OR(B164="",D164=""),"","RL-NEW-"&amp;TEXT(ROW()-99,"000"))</f>
        <v/>
      </c>
      <c r="B164" s="10"/>
      <c r="C164" s="11"/>
      <c r="D164" s="10"/>
      <c r="E164" s="10"/>
      <c r="F164" s="11"/>
      <c r="G164" s="11"/>
      <c r="H164" s="11"/>
      <c r="I164" s="10" t="s">
        <v>1926</v>
      </c>
      <c r="J164" s="10"/>
      <c r="K164" s="11"/>
    </row>
    <row r="165" spans="1:11">
      <c r="A165" s="11" t="str">
        <f>IF(OR(B165="",D165=""),"","RL-NEW-"&amp;TEXT(ROW()-99,"000"))</f>
        <v/>
      </c>
      <c r="B165" s="10"/>
      <c r="C165" s="11"/>
      <c r="D165" s="10"/>
      <c r="E165" s="10"/>
      <c r="F165" s="11"/>
      <c r="G165" s="11"/>
      <c r="H165" s="11"/>
      <c r="I165" s="10" t="s">
        <v>1926</v>
      </c>
      <c r="J165" s="10"/>
      <c r="K165" s="11"/>
    </row>
    <row r="166" spans="1:11">
      <c r="A166" s="11" t="str">
        <f>IF(OR(B166="",D166=""),"","RL-NEW-"&amp;TEXT(ROW()-99,"000"))</f>
        <v/>
      </c>
      <c r="B166" s="10"/>
      <c r="C166" s="11"/>
      <c r="D166" s="10"/>
      <c r="E166" s="10"/>
      <c r="F166" s="11"/>
      <c r="G166" s="11"/>
      <c r="H166" s="11"/>
      <c r="I166" s="10" t="s">
        <v>1926</v>
      </c>
      <c r="J166" s="10"/>
      <c r="K166" s="11"/>
    </row>
    <row r="167" spans="1:11">
      <c r="A167" s="11" t="str">
        <f>IF(OR(B167="",D167=""),"","RL-NEW-"&amp;TEXT(ROW()-99,"000"))</f>
        <v/>
      </c>
      <c r="B167" s="10"/>
      <c r="C167" s="11"/>
      <c r="D167" s="10"/>
      <c r="E167" s="10"/>
      <c r="F167" s="11"/>
      <c r="G167" s="11"/>
      <c r="H167" s="11"/>
      <c r="I167" s="10" t="s">
        <v>1926</v>
      </c>
      <c r="J167" s="10"/>
      <c r="K167" s="11"/>
    </row>
    <row r="168" spans="1:11">
      <c r="A168" s="11" t="str">
        <f>IF(OR(B168="",D168=""),"","RL-NEW-"&amp;TEXT(ROW()-99,"000"))</f>
        <v/>
      </c>
      <c r="B168" s="10"/>
      <c r="C168" s="11"/>
      <c r="D168" s="10"/>
      <c r="E168" s="10"/>
      <c r="F168" s="11"/>
      <c r="G168" s="11"/>
      <c r="H168" s="11"/>
      <c r="I168" s="10" t="s">
        <v>1926</v>
      </c>
      <c r="J168" s="10"/>
      <c r="K168" s="11"/>
    </row>
    <row r="169" spans="1:11">
      <c r="A169" s="11" t="str">
        <f>IF(OR(B169="",D169=""),"","RL-NEW-"&amp;TEXT(ROW()-99,"000"))</f>
        <v/>
      </c>
      <c r="B169" s="10"/>
      <c r="C169" s="11"/>
      <c r="D169" s="10"/>
      <c r="E169" s="10"/>
      <c r="F169" s="11"/>
      <c r="G169" s="11"/>
      <c r="H169" s="11"/>
      <c r="I169" s="10" t="s">
        <v>1926</v>
      </c>
      <c r="J169" s="10"/>
      <c r="K169" s="11"/>
    </row>
    <row r="170" spans="1:11">
      <c r="A170" s="11" t="str">
        <f>IF(OR(B170="",D170=""),"","RL-NEW-"&amp;TEXT(ROW()-99,"000"))</f>
        <v/>
      </c>
      <c r="B170" s="10"/>
      <c r="C170" s="11"/>
      <c r="D170" s="10"/>
      <c r="E170" s="10"/>
      <c r="F170" s="11"/>
      <c r="G170" s="11"/>
      <c r="H170" s="11"/>
      <c r="I170" s="10" t="s">
        <v>1926</v>
      </c>
      <c r="J170" s="10"/>
      <c r="K170" s="11"/>
    </row>
    <row r="171" spans="1:11">
      <c r="A171" s="11" t="str">
        <f>IF(OR(B171="",D171=""),"","RL-NEW-"&amp;TEXT(ROW()-99,"000"))</f>
        <v/>
      </c>
      <c r="B171" s="10"/>
      <c r="C171" s="11"/>
      <c r="D171" s="10"/>
      <c r="E171" s="10"/>
      <c r="F171" s="11"/>
      <c r="G171" s="11"/>
      <c r="H171" s="11"/>
      <c r="I171" s="10" t="s">
        <v>1926</v>
      </c>
      <c r="J171" s="10"/>
      <c r="K171" s="11"/>
    </row>
    <row r="172" spans="1:11">
      <c r="A172" s="11" t="str">
        <f>IF(OR(B172="",D172=""),"","RL-NEW-"&amp;TEXT(ROW()-99,"000"))</f>
        <v/>
      </c>
      <c r="B172" s="10"/>
      <c r="C172" s="11"/>
      <c r="D172" s="10"/>
      <c r="E172" s="10"/>
      <c r="F172" s="11"/>
      <c r="G172" s="11"/>
      <c r="H172" s="11"/>
      <c r="I172" s="10" t="s">
        <v>1926</v>
      </c>
      <c r="J172" s="10"/>
      <c r="K172" s="11"/>
    </row>
    <row r="173" spans="1:11">
      <c r="A173" s="11" t="str">
        <f>IF(OR(B173="",D173=""),"","RL-NEW-"&amp;TEXT(ROW()-99,"000"))</f>
        <v/>
      </c>
      <c r="B173" s="10"/>
      <c r="C173" s="11"/>
      <c r="D173" s="10"/>
      <c r="E173" s="10"/>
      <c r="F173" s="11"/>
      <c r="G173" s="11"/>
      <c r="H173" s="11"/>
      <c r="I173" s="10" t="s">
        <v>1926</v>
      </c>
      <c r="J173" s="10"/>
      <c r="K173" s="11"/>
    </row>
    <row r="174" spans="1:11">
      <c r="A174" s="11" t="str">
        <f>IF(OR(B174="",D174=""),"","RL-NEW-"&amp;TEXT(ROW()-99,"000"))</f>
        <v/>
      </c>
      <c r="B174" s="10"/>
      <c r="C174" s="11"/>
      <c r="D174" s="10"/>
      <c r="E174" s="10"/>
      <c r="F174" s="11"/>
      <c r="G174" s="11"/>
      <c r="H174" s="11"/>
      <c r="I174" s="10" t="s">
        <v>1926</v>
      </c>
      <c r="J174" s="10"/>
      <c r="K174" s="11"/>
    </row>
    <row r="175" spans="1:11">
      <c r="A175" s="11" t="str">
        <f>IF(OR(B175="",D175=""),"","RL-NEW-"&amp;TEXT(ROW()-99,"000"))</f>
        <v/>
      </c>
      <c r="B175" s="10"/>
      <c r="C175" s="11"/>
      <c r="D175" s="10"/>
      <c r="E175" s="10"/>
      <c r="F175" s="11"/>
      <c r="G175" s="11"/>
      <c r="H175" s="11"/>
      <c r="I175" s="10" t="s">
        <v>1926</v>
      </c>
      <c r="J175" s="10"/>
      <c r="K175" s="11"/>
    </row>
    <row r="176" spans="1:11">
      <c r="A176" s="11" t="str">
        <f>IF(OR(B176="",D176=""),"","RL-NEW-"&amp;TEXT(ROW()-99,"000"))</f>
        <v/>
      </c>
      <c r="B176" s="10"/>
      <c r="C176" s="11"/>
      <c r="D176" s="10"/>
      <c r="E176" s="10"/>
      <c r="F176" s="11"/>
      <c r="G176" s="11"/>
      <c r="H176" s="11"/>
      <c r="I176" s="10" t="s">
        <v>1926</v>
      </c>
      <c r="J176" s="10"/>
      <c r="K176" s="11"/>
    </row>
    <row r="177" spans="1:11">
      <c r="A177" s="11" t="str">
        <f>IF(OR(B177="",D177=""),"","RL-NEW-"&amp;TEXT(ROW()-99,"000"))</f>
        <v/>
      </c>
      <c r="B177" s="10"/>
      <c r="C177" s="11"/>
      <c r="D177" s="10"/>
      <c r="E177" s="10"/>
      <c r="F177" s="11"/>
      <c r="G177" s="11"/>
      <c r="H177" s="11"/>
      <c r="I177" s="10" t="s">
        <v>1926</v>
      </c>
      <c r="J177" s="10"/>
      <c r="K177" s="11"/>
    </row>
    <row r="178" spans="1:11">
      <c r="A178" s="11" t="str">
        <f>IF(OR(B178="",D178=""),"","RL-NEW-"&amp;TEXT(ROW()-99,"000"))</f>
        <v/>
      </c>
      <c r="B178" s="10"/>
      <c r="C178" s="11"/>
      <c r="D178" s="10"/>
      <c r="E178" s="10"/>
      <c r="F178" s="11"/>
      <c r="G178" s="11"/>
      <c r="H178" s="11"/>
      <c r="I178" s="10" t="s">
        <v>1926</v>
      </c>
      <c r="J178" s="10"/>
      <c r="K178" s="11"/>
    </row>
    <row r="179" spans="1:11">
      <c r="A179" s="11" t="str">
        <f>IF(OR(B179="",D179=""),"","RL-NEW-"&amp;TEXT(ROW()-99,"000"))</f>
        <v/>
      </c>
      <c r="B179" s="10"/>
      <c r="C179" s="11"/>
      <c r="D179" s="10"/>
      <c r="E179" s="10"/>
      <c r="F179" s="11"/>
      <c r="G179" s="11"/>
      <c r="H179" s="11"/>
      <c r="I179" s="10" t="s">
        <v>1926</v>
      </c>
      <c r="J179" s="10"/>
      <c r="K179" s="11"/>
    </row>
    <row r="180" spans="1:11">
      <c r="A180" s="11" t="str">
        <f>IF(OR(B180="",D180=""),"","RL-NEW-"&amp;TEXT(ROW()-99,"000"))</f>
        <v/>
      </c>
      <c r="B180" s="10"/>
      <c r="C180" s="11"/>
      <c r="D180" s="10"/>
      <c r="E180" s="10"/>
      <c r="F180" s="11"/>
      <c r="G180" s="11"/>
      <c r="H180" s="11"/>
      <c r="I180" s="10" t="s">
        <v>1926</v>
      </c>
      <c r="J180" s="10"/>
      <c r="K180" s="11"/>
    </row>
    <row r="181" spans="1:11">
      <c r="A181" s="11" t="str">
        <f>IF(OR(B181="",D181=""),"","RL-NEW-"&amp;TEXT(ROW()-99,"000"))</f>
        <v/>
      </c>
      <c r="B181" s="10"/>
      <c r="C181" s="11"/>
      <c r="D181" s="10"/>
      <c r="E181" s="10"/>
      <c r="F181" s="11"/>
      <c r="G181" s="11"/>
      <c r="H181" s="11"/>
      <c r="I181" s="10" t="s">
        <v>1926</v>
      </c>
      <c r="J181" s="10"/>
      <c r="K181" s="11"/>
    </row>
    <row r="182" spans="1:11">
      <c r="A182" s="11" t="str">
        <f>IF(OR(B182="",D182=""),"","RL-NEW-"&amp;TEXT(ROW()-99,"000"))</f>
        <v/>
      </c>
      <c r="B182" s="10"/>
      <c r="C182" s="11"/>
      <c r="D182" s="10"/>
      <c r="E182" s="10"/>
      <c r="F182" s="11"/>
      <c r="G182" s="11"/>
      <c r="H182" s="11"/>
      <c r="I182" s="10" t="s">
        <v>1926</v>
      </c>
      <c r="J182" s="10"/>
      <c r="K182" s="11"/>
    </row>
    <row r="183" spans="1:11">
      <c r="A183" s="11" t="str">
        <f>IF(OR(B183="",D183=""),"","RL-NEW-"&amp;TEXT(ROW()-99,"000"))</f>
        <v/>
      </c>
      <c r="B183" s="10"/>
      <c r="C183" s="11"/>
      <c r="D183" s="10"/>
      <c r="E183" s="10"/>
      <c r="F183" s="11"/>
      <c r="G183" s="11"/>
      <c r="H183" s="11"/>
      <c r="I183" s="10" t="s">
        <v>1926</v>
      </c>
      <c r="J183" s="10"/>
      <c r="K183" s="11"/>
    </row>
    <row r="184" spans="1:11">
      <c r="A184" s="11" t="str">
        <f>IF(OR(B184="",D184=""),"","RL-NEW-"&amp;TEXT(ROW()-99,"000"))</f>
        <v/>
      </c>
      <c r="B184" s="10"/>
      <c r="C184" s="11"/>
      <c r="D184" s="10"/>
      <c r="E184" s="10"/>
      <c r="F184" s="11"/>
      <c r="G184" s="11"/>
      <c r="H184" s="11"/>
      <c r="I184" s="10" t="s">
        <v>1926</v>
      </c>
      <c r="J184" s="10"/>
      <c r="K184" s="11"/>
    </row>
    <row r="185" spans="1:11">
      <c r="A185" s="11" t="str">
        <f>IF(OR(B185="",D185=""),"","RL-NEW-"&amp;TEXT(ROW()-99,"000"))</f>
        <v/>
      </c>
      <c r="B185" s="10"/>
      <c r="C185" s="11"/>
      <c r="D185" s="10"/>
      <c r="E185" s="10"/>
      <c r="F185" s="11"/>
      <c r="G185" s="11"/>
      <c r="H185" s="11"/>
      <c r="I185" s="10" t="s">
        <v>1926</v>
      </c>
      <c r="J185" s="10"/>
      <c r="K185" s="11"/>
    </row>
    <row r="186" spans="1:11">
      <c r="A186" s="11" t="str">
        <f>IF(OR(B186="",D186=""),"","RL-NEW-"&amp;TEXT(ROW()-99,"000"))</f>
        <v/>
      </c>
      <c r="B186" s="10"/>
      <c r="C186" s="11"/>
      <c r="D186" s="10"/>
      <c r="E186" s="10"/>
      <c r="F186" s="11"/>
      <c r="G186" s="11"/>
      <c r="H186" s="11"/>
      <c r="I186" s="10" t="s">
        <v>1926</v>
      </c>
      <c r="J186" s="10"/>
      <c r="K186" s="11"/>
    </row>
    <row r="187" spans="1:11">
      <c r="A187" s="11" t="str">
        <f>IF(OR(B187="",D187=""),"","RL-NEW-"&amp;TEXT(ROW()-99,"000"))</f>
        <v/>
      </c>
      <c r="B187" s="10"/>
      <c r="C187" s="11"/>
      <c r="D187" s="10"/>
      <c r="E187" s="10"/>
      <c r="F187" s="11"/>
      <c r="G187" s="11"/>
      <c r="H187" s="11"/>
      <c r="I187" s="10" t="s">
        <v>1926</v>
      </c>
      <c r="J187" s="10"/>
      <c r="K187" s="11"/>
    </row>
    <row r="188" spans="1:11">
      <c r="A188" s="11" t="str">
        <f>IF(OR(B188="",D188=""),"","RL-NEW-"&amp;TEXT(ROW()-99,"000"))</f>
        <v/>
      </c>
      <c r="B188" s="10"/>
      <c r="C188" s="11"/>
      <c r="D188" s="10"/>
      <c r="E188" s="10"/>
      <c r="F188" s="11"/>
      <c r="G188" s="11"/>
      <c r="H188" s="11"/>
      <c r="I188" s="10" t="s">
        <v>1926</v>
      </c>
      <c r="J188" s="10"/>
      <c r="K188" s="11"/>
    </row>
    <row r="189" spans="1:11">
      <c r="A189" s="11" t="str">
        <f>IF(OR(B189="",D189=""),"","RL-NEW-"&amp;TEXT(ROW()-99,"000"))</f>
        <v/>
      </c>
      <c r="B189" s="10"/>
      <c r="C189" s="11"/>
      <c r="D189" s="10"/>
      <c r="E189" s="10"/>
      <c r="F189" s="11"/>
      <c r="G189" s="11"/>
      <c r="H189" s="11"/>
      <c r="I189" s="10" t="s">
        <v>1926</v>
      </c>
      <c r="J189" s="10"/>
      <c r="K189" s="11"/>
    </row>
    <row r="190" spans="1:11">
      <c r="A190" s="11" t="str">
        <f>IF(OR(B190="",D190=""),"","RL-NEW-"&amp;TEXT(ROW()-99,"000"))</f>
        <v/>
      </c>
      <c r="B190" s="10"/>
      <c r="C190" s="11"/>
      <c r="D190" s="10"/>
      <c r="E190" s="10"/>
      <c r="F190" s="11"/>
      <c r="G190" s="11"/>
      <c r="H190" s="11"/>
      <c r="I190" s="10" t="s">
        <v>1926</v>
      </c>
      <c r="J190" s="10"/>
      <c r="K190" s="11"/>
    </row>
    <row r="191" spans="1:11">
      <c r="A191" s="11" t="str">
        <f>IF(OR(B191="",D191=""),"","RL-NEW-"&amp;TEXT(ROW()-99,"000"))</f>
        <v/>
      </c>
      <c r="B191" s="10"/>
      <c r="C191" s="11"/>
      <c r="D191" s="10"/>
      <c r="E191" s="10"/>
      <c r="F191" s="11"/>
      <c r="G191" s="11"/>
      <c r="H191" s="11"/>
      <c r="I191" s="10" t="s">
        <v>1926</v>
      </c>
      <c r="J191" s="10"/>
      <c r="K191" s="11"/>
    </row>
    <row r="192" spans="1:11">
      <c r="A192" s="11" t="str">
        <f>IF(OR(B192="",D192=""),"","RL-NEW-"&amp;TEXT(ROW()-99,"000"))</f>
        <v/>
      </c>
      <c r="B192" s="10"/>
      <c r="C192" s="11"/>
      <c r="D192" s="10"/>
      <c r="E192" s="10"/>
      <c r="F192" s="11"/>
      <c r="G192" s="11"/>
      <c r="H192" s="11"/>
      <c r="I192" s="10" t="s">
        <v>1926</v>
      </c>
      <c r="J192" s="10"/>
      <c r="K192" s="11"/>
    </row>
    <row r="193" spans="1:11">
      <c r="A193" s="11" t="str">
        <f>IF(OR(B193="",D193=""),"","RL-NEW-"&amp;TEXT(ROW()-99,"000"))</f>
        <v/>
      </c>
      <c r="B193" s="10"/>
      <c r="C193" s="11"/>
      <c r="D193" s="10"/>
      <c r="E193" s="10"/>
      <c r="F193" s="11"/>
      <c r="G193" s="11"/>
      <c r="H193" s="11"/>
      <c r="I193" s="10" t="s">
        <v>1926</v>
      </c>
      <c r="J193" s="10"/>
      <c r="K193" s="11"/>
    </row>
    <row r="194" spans="1:11">
      <c r="A194" s="11" t="str">
        <f>IF(OR(B194="",D194=""),"","RL-NEW-"&amp;TEXT(ROW()-99,"000"))</f>
        <v/>
      </c>
      <c r="B194" s="10"/>
      <c r="C194" s="11"/>
      <c r="D194" s="10"/>
      <c r="E194" s="10"/>
      <c r="F194" s="11"/>
      <c r="G194" s="11"/>
      <c r="H194" s="11"/>
      <c r="I194" s="10" t="s">
        <v>1926</v>
      </c>
      <c r="J194" s="10"/>
      <c r="K194" s="11"/>
    </row>
    <row r="195" spans="1:11">
      <c r="A195" s="11" t="str">
        <f>IF(OR(B195="",D195=""),"","RL-NEW-"&amp;TEXT(ROW()-99,"000"))</f>
        <v/>
      </c>
      <c r="B195" s="10"/>
      <c r="C195" s="11"/>
      <c r="D195" s="10"/>
      <c r="E195" s="10"/>
      <c r="F195" s="11"/>
      <c r="G195" s="11"/>
      <c r="H195" s="11"/>
      <c r="I195" s="10" t="s">
        <v>1926</v>
      </c>
      <c r="J195" s="10"/>
      <c r="K195" s="11"/>
    </row>
    <row r="196" spans="1:11">
      <c r="A196" s="11" t="str">
        <f>IF(OR(B196="",D196=""),"","RL-NEW-"&amp;TEXT(ROW()-99,"000"))</f>
        <v/>
      </c>
      <c r="B196" s="10"/>
      <c r="C196" s="11"/>
      <c r="D196" s="10"/>
      <c r="E196" s="10"/>
      <c r="F196" s="11"/>
      <c r="G196" s="11"/>
      <c r="H196" s="11"/>
      <c r="I196" s="10" t="s">
        <v>1926</v>
      </c>
      <c r="J196" s="10"/>
      <c r="K196" s="11"/>
    </row>
    <row r="197" spans="1:11">
      <c r="A197" s="11" t="str">
        <f>IF(OR(B197="",D197=""),"","RL-NEW-"&amp;TEXT(ROW()-99,"000"))</f>
        <v/>
      </c>
      <c r="B197" s="10"/>
      <c r="C197" s="11"/>
      <c r="D197" s="10"/>
      <c r="E197" s="10"/>
      <c r="F197" s="11"/>
      <c r="G197" s="11"/>
      <c r="H197" s="11"/>
      <c r="I197" s="10" t="s">
        <v>1926</v>
      </c>
      <c r="J197" s="10"/>
      <c r="K197" s="11"/>
    </row>
    <row r="198" spans="1:11">
      <c r="A198" s="11" t="str">
        <f>IF(OR(B198="",D198=""),"","RL-NEW-"&amp;TEXT(ROW()-99,"000"))</f>
        <v/>
      </c>
      <c r="B198" s="10"/>
      <c r="C198" s="11"/>
      <c r="D198" s="10"/>
      <c r="E198" s="10"/>
      <c r="F198" s="11"/>
      <c r="G198" s="11"/>
      <c r="H198" s="11"/>
      <c r="I198" s="10" t="s">
        <v>1926</v>
      </c>
      <c r="J198" s="10"/>
      <c r="K198" s="11"/>
    </row>
    <row r="199" spans="1:11">
      <c r="A199" s="11" t="str">
        <f>IF(OR(B199="",D199=""),"","RL-NEW-"&amp;TEXT(ROW()-99,"000"))</f>
        <v/>
      </c>
      <c r="B199" s="10"/>
      <c r="C199" s="11"/>
      <c r="D199" s="10"/>
      <c r="E199" s="10"/>
      <c r="F199" s="11"/>
      <c r="G199" s="11"/>
      <c r="H199" s="11"/>
      <c r="I199" s="10" t="s">
        <v>1926</v>
      </c>
      <c r="J199" s="10"/>
      <c r="K199" s="11"/>
    </row>
    <row r="200" spans="1:11">
      <c r="A200" t="s">
        <v>1927</v>
      </c>
      <c r="B200" t="s">
        <v>1414</v>
      </c>
      <c r="C200" t="s">
        <v>543</v>
      </c>
      <c r="D200" t="s">
        <v>554</v>
      </c>
      <c r="E200" t="s">
        <v>1742</v>
      </c>
      <c r="H200" t="s">
        <v>1928</v>
      </c>
      <c r="I200" t="s">
        <v>1559</v>
      </c>
      <c r="K200" t="s">
        <v>1929</v>
      </c>
    </row>
    <row r="201" spans="1:11">
      <c r="A201" t="s">
        <v>1930</v>
      </c>
      <c r="B201" t="s">
        <v>1429</v>
      </c>
      <c r="C201" t="s">
        <v>543</v>
      </c>
      <c r="D201" t="s">
        <v>1437</v>
      </c>
      <c r="E201" t="s">
        <v>1742</v>
      </c>
      <c r="H201" t="s">
        <v>1931</v>
      </c>
      <c r="I201" t="s">
        <v>1559</v>
      </c>
      <c r="K201" t="s">
        <v>1929</v>
      </c>
    </row>
    <row r="202" spans="1:11">
      <c r="A202" t="s">
        <v>1932</v>
      </c>
      <c r="B202" t="s">
        <v>1438</v>
      </c>
      <c r="C202" t="s">
        <v>543</v>
      </c>
      <c r="D202" t="s">
        <v>1437</v>
      </c>
      <c r="E202" t="s">
        <v>1742</v>
      </c>
      <c r="H202" t="s">
        <v>1933</v>
      </c>
      <c r="I202" t="s">
        <v>1559</v>
      </c>
      <c r="K202" t="s">
        <v>1929</v>
      </c>
    </row>
    <row r="203" spans="1:11">
      <c r="A203" t="s">
        <v>1934</v>
      </c>
      <c r="B203" t="s">
        <v>1446</v>
      </c>
      <c r="C203" t="s">
        <v>543</v>
      </c>
      <c r="D203" t="s">
        <v>1437</v>
      </c>
      <c r="E203" t="s">
        <v>1742</v>
      </c>
      <c r="H203" t="s">
        <v>1935</v>
      </c>
      <c r="I203" t="s">
        <v>1559</v>
      </c>
      <c r="K203" t="s">
        <v>1929</v>
      </c>
    </row>
    <row r="204" spans="1:11">
      <c r="A204" t="s">
        <v>1936</v>
      </c>
      <c r="B204" t="s">
        <v>1454</v>
      </c>
      <c r="C204" t="s">
        <v>543</v>
      </c>
      <c r="D204" t="s">
        <v>1710</v>
      </c>
      <c r="E204" t="s">
        <v>1742</v>
      </c>
      <c r="H204" t="s">
        <v>1937</v>
      </c>
      <c r="I204" t="s">
        <v>1559</v>
      </c>
      <c r="K204" t="s">
        <v>1929</v>
      </c>
    </row>
  </sheetData>
  <autoFilter ref="A13:K199" xr:uid="{00000000-0009-0000-0000-000007000000}"/>
  <mergeCells count="13">
    <mergeCell ref="A1:K2"/>
    <mergeCell ref="D10:K10"/>
    <mergeCell ref="B10:C10"/>
    <mergeCell ref="B9:C9"/>
    <mergeCell ref="B8:C8"/>
    <mergeCell ref="A5:K5"/>
    <mergeCell ref="B6:C6"/>
    <mergeCell ref="D9:K9"/>
    <mergeCell ref="B7:C7"/>
    <mergeCell ref="A3:K3"/>
    <mergeCell ref="D6:K6"/>
    <mergeCell ref="D7:K7"/>
    <mergeCell ref="D8:K8"/>
  </mergeCells>
  <pageMargins left="0.75" right="0.75" top="1" bottom="1" header="0.5" footer="0.5"/>
  <headerFooter>
    <oddFooter>&amp;CREVEAL V4.0 Research Lineage | Human Review Required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64A2"/>
    <pageSetUpPr fitToPage="1"/>
  </sheetPr>
  <dimension ref="A1:L22"/>
  <sheetViews>
    <sheetView showGridLines="0" workbookViewId="0">
      <pane xSplit="4" ySplit="5" topLeftCell="J6" activePane="bottomRight" state="frozen"/>
      <selection pane="bottomRight" activeCell="K20" sqref="K20"/>
      <selection pane="bottomLeft"/>
      <selection pane="topRight"/>
    </sheetView>
  </sheetViews>
  <sheetFormatPr defaultRowHeight="15"/>
  <cols>
    <col min="1" max="1" width="16" customWidth="1"/>
    <col min="2" max="2" width="34" customWidth="1"/>
    <col min="3" max="3" width="16" customWidth="1"/>
    <col min="4" max="4" width="28" customWidth="1"/>
    <col min="5" max="5" width="20" customWidth="1"/>
    <col min="6" max="6" width="60" customWidth="1"/>
    <col min="7" max="7" width="26" customWidth="1"/>
    <col min="8" max="9" width="18" customWidth="1"/>
    <col min="10" max="11" width="50" customWidth="1"/>
    <col min="12" max="12" width="22" customWidth="1"/>
  </cols>
  <sheetData>
    <row r="1" spans="1:12">
      <c r="A1" s="37" t="s">
        <v>1938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33.950000000000003" customHeight="1">
      <c r="A3" s="47" t="s">
        <v>1939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5" spans="1:12">
      <c r="A5" s="29" t="s">
        <v>1545</v>
      </c>
      <c r="B5" s="29" t="s">
        <v>99</v>
      </c>
      <c r="C5" s="29" t="s">
        <v>1940</v>
      </c>
      <c r="D5" s="29" t="s">
        <v>1377</v>
      </c>
      <c r="E5" s="29" t="s">
        <v>1941</v>
      </c>
      <c r="F5" s="29" t="s">
        <v>1942</v>
      </c>
      <c r="G5" s="29" t="s">
        <v>1943</v>
      </c>
      <c r="H5" s="29" t="s">
        <v>1944</v>
      </c>
      <c r="I5" s="29" t="s">
        <v>148</v>
      </c>
      <c r="J5" s="29" t="s">
        <v>1945</v>
      </c>
      <c r="K5" s="29" t="s">
        <v>618</v>
      </c>
      <c r="L5" s="29" t="s">
        <v>1946</v>
      </c>
    </row>
    <row r="6" spans="1:12" ht="30" customHeight="1">
      <c r="A6" s="9" t="s">
        <v>1391</v>
      </c>
      <c r="B6" s="9" t="s">
        <v>1947</v>
      </c>
      <c r="C6" s="9" t="s">
        <v>1948</v>
      </c>
      <c r="D6" s="9" t="s">
        <v>1949</v>
      </c>
      <c r="E6" s="9" t="s">
        <v>1950</v>
      </c>
      <c r="F6" s="9" t="s">
        <v>1951</v>
      </c>
      <c r="G6" s="9" t="s">
        <v>1952</v>
      </c>
      <c r="H6" s="9" t="s">
        <v>1953</v>
      </c>
      <c r="I6" s="9" t="s">
        <v>552</v>
      </c>
      <c r="J6" s="9" t="s">
        <v>1954</v>
      </c>
      <c r="K6" s="9" t="s">
        <v>1955</v>
      </c>
      <c r="L6" s="9" t="s">
        <v>1559</v>
      </c>
    </row>
    <row r="7" spans="1:12" ht="30" customHeight="1">
      <c r="A7" s="9" t="s">
        <v>1391</v>
      </c>
      <c r="B7" s="9" t="s">
        <v>1947</v>
      </c>
      <c r="C7" s="9" t="s">
        <v>1956</v>
      </c>
      <c r="D7" s="9" t="s">
        <v>1957</v>
      </c>
      <c r="E7" s="9" t="s">
        <v>1950</v>
      </c>
      <c r="F7" s="9" t="s">
        <v>1958</v>
      </c>
      <c r="G7" s="9" t="s">
        <v>1959</v>
      </c>
      <c r="H7" s="9" t="s">
        <v>1960</v>
      </c>
      <c r="I7" s="9" t="s">
        <v>552</v>
      </c>
      <c r="J7" s="9" t="s">
        <v>1961</v>
      </c>
      <c r="K7" s="9" t="s">
        <v>1962</v>
      </c>
      <c r="L7" s="9" t="s">
        <v>1559</v>
      </c>
    </row>
    <row r="8" spans="1:12" ht="30" customHeight="1">
      <c r="A8" s="9" t="s">
        <v>1391</v>
      </c>
      <c r="B8" s="9" t="s">
        <v>1947</v>
      </c>
      <c r="C8" s="9" t="s">
        <v>1963</v>
      </c>
      <c r="D8" s="9" t="s">
        <v>624</v>
      </c>
      <c r="E8" s="9" t="s">
        <v>1950</v>
      </c>
      <c r="F8" s="9" t="s">
        <v>1964</v>
      </c>
      <c r="G8" s="9" t="s">
        <v>1959</v>
      </c>
      <c r="H8" s="9" t="s">
        <v>1960</v>
      </c>
      <c r="I8" s="9" t="s">
        <v>196</v>
      </c>
      <c r="J8" s="9" t="s">
        <v>1965</v>
      </c>
      <c r="K8" s="9" t="s">
        <v>1966</v>
      </c>
      <c r="L8" s="9" t="s">
        <v>1559</v>
      </c>
    </row>
    <row r="9" spans="1:12" ht="30" customHeight="1">
      <c r="A9" s="9" t="s">
        <v>554</v>
      </c>
      <c r="B9" s="9" t="s">
        <v>1967</v>
      </c>
      <c r="C9" s="9" t="s">
        <v>1968</v>
      </c>
      <c r="D9" s="9" t="s">
        <v>1969</v>
      </c>
      <c r="E9" s="9" t="s">
        <v>1950</v>
      </c>
      <c r="F9" s="9" t="s">
        <v>1970</v>
      </c>
      <c r="G9" s="9" t="s">
        <v>1971</v>
      </c>
      <c r="H9" s="9" t="s">
        <v>1953</v>
      </c>
      <c r="I9" s="9" t="s">
        <v>196</v>
      </c>
      <c r="J9" s="9" t="s">
        <v>1972</v>
      </c>
      <c r="K9" s="9" t="s">
        <v>1973</v>
      </c>
      <c r="L9" s="9" t="s">
        <v>1559</v>
      </c>
    </row>
    <row r="10" spans="1:12" ht="30" customHeight="1">
      <c r="A10" s="9" t="s">
        <v>554</v>
      </c>
      <c r="B10" s="9" t="s">
        <v>1967</v>
      </c>
      <c r="C10" s="9" t="s">
        <v>1974</v>
      </c>
      <c r="D10" s="9" t="s">
        <v>1975</v>
      </c>
      <c r="E10" s="9" t="s">
        <v>1950</v>
      </c>
      <c r="F10" s="9" t="s">
        <v>1976</v>
      </c>
      <c r="G10" s="9" t="s">
        <v>1959</v>
      </c>
      <c r="H10" s="9" t="s">
        <v>1960</v>
      </c>
      <c r="I10" s="9" t="s">
        <v>214</v>
      </c>
      <c r="J10" s="9" t="s">
        <v>1977</v>
      </c>
      <c r="K10" s="9" t="s">
        <v>1978</v>
      </c>
      <c r="L10" s="9" t="s">
        <v>1559</v>
      </c>
    </row>
    <row r="11" spans="1:12" ht="30" customHeight="1">
      <c r="A11" s="9" t="s">
        <v>1402</v>
      </c>
      <c r="B11" s="9" t="s">
        <v>1979</v>
      </c>
      <c r="C11" s="9" t="s">
        <v>1922</v>
      </c>
      <c r="D11" s="9" t="s">
        <v>1980</v>
      </c>
      <c r="E11" s="9" t="s">
        <v>1950</v>
      </c>
      <c r="F11" s="9" t="s">
        <v>1981</v>
      </c>
      <c r="G11" s="9" t="s">
        <v>1982</v>
      </c>
      <c r="H11" s="9" t="s">
        <v>1953</v>
      </c>
      <c r="I11" s="9" t="s">
        <v>552</v>
      </c>
      <c r="J11" s="9" t="s">
        <v>1983</v>
      </c>
      <c r="K11" s="9" t="s">
        <v>1984</v>
      </c>
      <c r="L11" s="9" t="s">
        <v>1559</v>
      </c>
    </row>
    <row r="12" spans="1:12">
      <c r="A12" s="9" t="s">
        <v>1402</v>
      </c>
      <c r="B12" s="9" t="s">
        <v>1979</v>
      </c>
      <c r="C12" s="9" t="s">
        <v>1948</v>
      </c>
      <c r="D12" s="9" t="s">
        <v>1949</v>
      </c>
      <c r="E12" s="9" t="s">
        <v>1985</v>
      </c>
      <c r="F12" s="9" t="s">
        <v>1986</v>
      </c>
      <c r="G12" s="9" t="s">
        <v>1987</v>
      </c>
      <c r="H12" s="9" t="s">
        <v>1988</v>
      </c>
      <c r="I12" s="9" t="s">
        <v>552</v>
      </c>
      <c r="J12" s="9" t="s">
        <v>1989</v>
      </c>
      <c r="K12" s="9" t="s">
        <v>1990</v>
      </c>
      <c r="L12" s="9" t="s">
        <v>1559</v>
      </c>
    </row>
    <row r="13" spans="1:12" ht="30" customHeight="1">
      <c r="A13" s="9" t="s">
        <v>1407</v>
      </c>
      <c r="B13" s="9" t="s">
        <v>1991</v>
      </c>
      <c r="C13" s="9" t="s">
        <v>1956</v>
      </c>
      <c r="D13" s="9" t="s">
        <v>1957</v>
      </c>
      <c r="E13" s="9" t="s">
        <v>1950</v>
      </c>
      <c r="F13" s="9" t="s">
        <v>1992</v>
      </c>
      <c r="G13" s="9" t="s">
        <v>1959</v>
      </c>
      <c r="H13" s="9" t="s">
        <v>1960</v>
      </c>
      <c r="I13" s="9" t="s">
        <v>214</v>
      </c>
      <c r="J13" s="9" t="s">
        <v>1993</v>
      </c>
      <c r="K13" s="9" t="s">
        <v>1994</v>
      </c>
      <c r="L13" s="9" t="s">
        <v>1559</v>
      </c>
    </row>
    <row r="14" spans="1:12">
      <c r="A14" s="9" t="s">
        <v>1407</v>
      </c>
      <c r="B14" s="9" t="s">
        <v>1991</v>
      </c>
      <c r="C14" s="9" t="s">
        <v>1963</v>
      </c>
      <c r="D14" s="9" t="s">
        <v>624</v>
      </c>
      <c r="E14" s="9" t="s">
        <v>1950</v>
      </c>
      <c r="F14" s="9" t="s">
        <v>1995</v>
      </c>
      <c r="G14" s="9" t="s">
        <v>1959</v>
      </c>
      <c r="H14" s="9" t="s">
        <v>1960</v>
      </c>
      <c r="I14" s="9" t="s">
        <v>214</v>
      </c>
      <c r="J14" s="9" t="s">
        <v>1996</v>
      </c>
      <c r="K14" s="9" t="s">
        <v>1997</v>
      </c>
      <c r="L14" s="9" t="s">
        <v>1559</v>
      </c>
    </row>
    <row r="15" spans="1:12" ht="30" customHeight="1">
      <c r="A15" s="9" t="s">
        <v>1580</v>
      </c>
      <c r="B15" s="9" t="s">
        <v>1998</v>
      </c>
      <c r="C15" s="9" t="s">
        <v>1974</v>
      </c>
      <c r="D15" s="9" t="s">
        <v>1999</v>
      </c>
      <c r="E15" s="9" t="s">
        <v>1950</v>
      </c>
      <c r="F15" s="9" t="s">
        <v>2000</v>
      </c>
      <c r="G15" s="9" t="s">
        <v>1959</v>
      </c>
      <c r="H15" s="9" t="s">
        <v>1960</v>
      </c>
      <c r="I15" s="9" t="s">
        <v>196</v>
      </c>
      <c r="J15" s="9" t="s">
        <v>2001</v>
      </c>
      <c r="K15" s="9" t="s">
        <v>2002</v>
      </c>
      <c r="L15" s="9" t="s">
        <v>1559</v>
      </c>
    </row>
    <row r="16" spans="1:12">
      <c r="A16" s="9" t="s">
        <v>1580</v>
      </c>
      <c r="B16" s="9" t="s">
        <v>1998</v>
      </c>
      <c r="C16" s="9" t="s">
        <v>1910</v>
      </c>
      <c r="D16" s="9" t="s">
        <v>2003</v>
      </c>
      <c r="E16" s="9" t="s">
        <v>1950</v>
      </c>
      <c r="F16" s="9" t="s">
        <v>2004</v>
      </c>
      <c r="G16" s="9" t="s">
        <v>1959</v>
      </c>
      <c r="H16" s="9" t="s">
        <v>1960</v>
      </c>
      <c r="I16" s="9" t="s">
        <v>196</v>
      </c>
      <c r="J16" s="9" t="s">
        <v>2005</v>
      </c>
      <c r="K16" s="9" t="s">
        <v>2006</v>
      </c>
      <c r="L16" s="9" t="s">
        <v>1559</v>
      </c>
    </row>
    <row r="17" spans="1:12" ht="30" customHeight="1">
      <c r="A17" s="9" t="s">
        <v>1586</v>
      </c>
      <c r="B17" s="9" t="s">
        <v>2007</v>
      </c>
      <c r="C17" s="9" t="s">
        <v>1968</v>
      </c>
      <c r="D17" s="9" t="s">
        <v>1139</v>
      </c>
      <c r="E17" s="9" t="s">
        <v>1950</v>
      </c>
      <c r="F17" s="9" t="s">
        <v>2008</v>
      </c>
      <c r="G17" s="9" t="s">
        <v>2009</v>
      </c>
      <c r="H17" s="9" t="s">
        <v>1953</v>
      </c>
      <c r="I17" s="9" t="s">
        <v>1564</v>
      </c>
      <c r="J17" s="9" t="s">
        <v>2010</v>
      </c>
      <c r="K17" s="9" t="s">
        <v>1973</v>
      </c>
      <c r="L17" s="9" t="s">
        <v>1559</v>
      </c>
    </row>
    <row r="18" spans="1:12" ht="30" customHeight="1">
      <c r="A18" s="9" t="s">
        <v>1586</v>
      </c>
      <c r="B18" s="9" t="s">
        <v>2007</v>
      </c>
      <c r="C18" s="9" t="s">
        <v>1948</v>
      </c>
      <c r="D18" s="9" t="s">
        <v>1949</v>
      </c>
      <c r="E18" s="9" t="s">
        <v>1950</v>
      </c>
      <c r="F18" s="9" t="s">
        <v>2011</v>
      </c>
      <c r="G18" s="9" t="s">
        <v>1959</v>
      </c>
      <c r="H18" s="9" t="s">
        <v>1960</v>
      </c>
      <c r="I18" s="9" t="s">
        <v>196</v>
      </c>
      <c r="J18" s="9" t="s">
        <v>2012</v>
      </c>
      <c r="K18" s="9" t="s">
        <v>2013</v>
      </c>
      <c r="L18" s="9" t="s">
        <v>1559</v>
      </c>
    </row>
    <row r="19" spans="1:12" ht="30" customHeight="1">
      <c r="A19" s="9" t="s">
        <v>554</v>
      </c>
      <c r="B19" s="9" t="s">
        <v>1967</v>
      </c>
      <c r="C19" s="9" t="s">
        <v>1956</v>
      </c>
      <c r="D19" s="9" t="s">
        <v>1957</v>
      </c>
      <c r="E19" s="9" t="s">
        <v>1950</v>
      </c>
      <c r="F19" s="9" t="s">
        <v>2014</v>
      </c>
      <c r="G19" s="9" t="s">
        <v>1959</v>
      </c>
      <c r="H19" s="9" t="s">
        <v>1960</v>
      </c>
      <c r="I19" s="9" t="s">
        <v>196</v>
      </c>
      <c r="J19" s="9" t="s">
        <v>2015</v>
      </c>
      <c r="K19" s="9" t="s">
        <v>2016</v>
      </c>
      <c r="L19" s="9" t="s">
        <v>1559</v>
      </c>
    </row>
    <row r="20" spans="1:12" ht="30" customHeight="1">
      <c r="A20" s="9" t="s">
        <v>1591</v>
      </c>
      <c r="B20" s="9" t="s">
        <v>1592</v>
      </c>
      <c r="C20" s="9" t="s">
        <v>1922</v>
      </c>
      <c r="D20" s="9" t="s">
        <v>2017</v>
      </c>
      <c r="E20" s="9" t="s">
        <v>1950</v>
      </c>
      <c r="F20" s="9" t="s">
        <v>2018</v>
      </c>
      <c r="G20" s="9" t="s">
        <v>1959</v>
      </c>
      <c r="H20" s="9" t="s">
        <v>1960</v>
      </c>
      <c r="I20" s="9" t="s">
        <v>214</v>
      </c>
      <c r="J20" s="9" t="s">
        <v>2019</v>
      </c>
      <c r="K20" s="9" t="s">
        <v>2020</v>
      </c>
      <c r="L20" s="9" t="s">
        <v>1559</v>
      </c>
    </row>
    <row r="21" spans="1:12">
      <c r="A21" t="s">
        <v>2021</v>
      </c>
      <c r="B21" t="s">
        <v>2022</v>
      </c>
      <c r="C21" t="s">
        <v>1437</v>
      </c>
      <c r="D21" t="s">
        <v>2023</v>
      </c>
      <c r="E21" t="s">
        <v>1636</v>
      </c>
    </row>
    <row r="22" spans="1:12">
      <c r="A22" t="s">
        <v>2024</v>
      </c>
      <c r="B22" t="s">
        <v>2025</v>
      </c>
      <c r="C22" t="s">
        <v>1710</v>
      </c>
      <c r="D22" t="s">
        <v>2026</v>
      </c>
      <c r="E22" t="s">
        <v>1636</v>
      </c>
    </row>
  </sheetData>
  <autoFilter ref="A5:L20" xr:uid="{00000000-0009-0000-0000-000008000000}"/>
  <mergeCells count="2">
    <mergeCell ref="A3:L3"/>
    <mergeCell ref="A1:L2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64A2"/>
    <pageSetUpPr fitToPage="1"/>
  </sheetPr>
  <dimension ref="A1:J59"/>
  <sheetViews>
    <sheetView showGridLines="0" workbookViewId="0">
      <pane xSplit="3" ySplit="5" topLeftCell="I6" activePane="bottomRight" state="frozen"/>
      <selection pane="bottomRight"/>
      <selection pane="bottomLeft"/>
      <selection pane="topRight"/>
    </sheetView>
  </sheetViews>
  <sheetFormatPr defaultRowHeight="15"/>
  <cols>
    <col min="1" max="2" width="18" customWidth="1"/>
    <col min="3" max="3" width="28" customWidth="1"/>
    <col min="4" max="4" width="68" customWidth="1"/>
    <col min="5" max="5" width="20" customWidth="1"/>
    <col min="6" max="6" width="22" customWidth="1"/>
    <col min="7" max="7" width="42" customWidth="1"/>
    <col min="8" max="8" width="34" customWidth="1"/>
    <col min="9" max="9" width="20" customWidth="1"/>
    <col min="10" max="10" width="50.85546875" customWidth="1"/>
  </cols>
  <sheetData>
    <row r="1" spans="1:10">
      <c r="A1" s="37" t="s">
        <v>87</v>
      </c>
      <c r="B1" s="69"/>
      <c r="C1" s="69"/>
      <c r="D1" s="69"/>
      <c r="E1" s="69"/>
      <c r="F1" s="69"/>
      <c r="G1" s="69"/>
      <c r="H1" s="69"/>
      <c r="I1" s="69"/>
      <c r="J1" s="69"/>
    </row>
    <row r="2" spans="1:10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0" ht="33.950000000000003" customHeight="1">
      <c r="A3" s="47" t="s">
        <v>2027</v>
      </c>
      <c r="B3" s="69"/>
      <c r="C3" s="69"/>
      <c r="D3" s="69"/>
      <c r="E3" s="69"/>
      <c r="F3" s="69"/>
      <c r="G3" s="69"/>
      <c r="H3" s="69"/>
      <c r="I3" s="69"/>
      <c r="J3" s="69"/>
    </row>
    <row r="5" spans="1:10">
      <c r="A5" s="29" t="s">
        <v>2028</v>
      </c>
      <c r="B5" s="29" t="s">
        <v>2029</v>
      </c>
      <c r="C5" s="29" t="s">
        <v>2030</v>
      </c>
      <c r="D5" s="29" t="s">
        <v>2031</v>
      </c>
      <c r="E5" s="29" t="s">
        <v>2032</v>
      </c>
      <c r="F5" s="29" t="s">
        <v>150</v>
      </c>
      <c r="G5" s="29" t="s">
        <v>2033</v>
      </c>
      <c r="H5" s="29" t="s">
        <v>2034</v>
      </c>
      <c r="I5" s="29" t="s">
        <v>153</v>
      </c>
      <c r="J5" s="29" t="s">
        <v>2035</v>
      </c>
    </row>
    <row r="6" spans="1:10" ht="30" customHeight="1">
      <c r="A6" s="9" t="s">
        <v>1772</v>
      </c>
      <c r="B6" s="9" t="s">
        <v>2036</v>
      </c>
      <c r="C6" s="9" t="s">
        <v>2037</v>
      </c>
      <c r="D6" s="9" t="s">
        <v>2038</v>
      </c>
      <c r="E6" s="9" t="s">
        <v>2039</v>
      </c>
      <c r="F6" s="9"/>
      <c r="G6" s="9"/>
      <c r="H6" s="9"/>
      <c r="I6" s="9"/>
      <c r="J6" s="9" t="s">
        <v>2040</v>
      </c>
    </row>
    <row r="7" spans="1:10" ht="30" customHeight="1">
      <c r="A7" s="9" t="s">
        <v>1772</v>
      </c>
      <c r="B7" s="9" t="s">
        <v>2041</v>
      </c>
      <c r="C7" s="9" t="s">
        <v>2042</v>
      </c>
      <c r="D7" s="9" t="s">
        <v>2043</v>
      </c>
      <c r="E7" s="9" t="s">
        <v>2044</v>
      </c>
      <c r="F7" s="9"/>
      <c r="G7" s="9"/>
      <c r="H7" s="9"/>
      <c r="I7" s="9"/>
      <c r="J7" s="9" t="s">
        <v>2045</v>
      </c>
    </row>
    <row r="8" spans="1:10" ht="30" customHeight="1">
      <c r="A8" s="9" t="s">
        <v>1772</v>
      </c>
      <c r="B8" s="9" t="s">
        <v>2046</v>
      </c>
      <c r="C8" s="9" t="s">
        <v>2047</v>
      </c>
      <c r="D8" s="9" t="s">
        <v>2048</v>
      </c>
      <c r="E8" s="9" t="s">
        <v>2039</v>
      </c>
      <c r="F8" s="9"/>
      <c r="G8" s="9"/>
      <c r="H8" s="9"/>
      <c r="I8" s="9"/>
      <c r="J8" s="9" t="s">
        <v>2049</v>
      </c>
    </row>
    <row r="9" spans="1:10" ht="30" customHeight="1">
      <c r="A9" s="9" t="s">
        <v>1772</v>
      </c>
      <c r="B9" s="9" t="s">
        <v>2050</v>
      </c>
      <c r="C9" s="9" t="s">
        <v>2051</v>
      </c>
      <c r="D9" s="9" t="s">
        <v>2052</v>
      </c>
      <c r="E9" s="9" t="s">
        <v>552</v>
      </c>
      <c r="F9" s="9"/>
      <c r="G9" s="9"/>
      <c r="H9" s="9"/>
      <c r="I9" s="9"/>
      <c r="J9" s="9" t="s">
        <v>2053</v>
      </c>
    </row>
    <row r="10" spans="1:10" ht="45" customHeight="1">
      <c r="A10" s="9" t="s">
        <v>1772</v>
      </c>
      <c r="B10" s="9" t="s">
        <v>2054</v>
      </c>
      <c r="C10" s="9" t="s">
        <v>2055</v>
      </c>
      <c r="D10" s="9" t="s">
        <v>2056</v>
      </c>
      <c r="E10" s="9" t="s">
        <v>552</v>
      </c>
      <c r="F10" s="9"/>
      <c r="G10" s="9"/>
      <c r="H10" s="9"/>
      <c r="I10" s="9"/>
      <c r="J10" s="9" t="s">
        <v>2057</v>
      </c>
    </row>
    <row r="11" spans="1:10" ht="30" customHeight="1">
      <c r="A11" s="9" t="s">
        <v>1772</v>
      </c>
      <c r="B11" s="9" t="s">
        <v>2058</v>
      </c>
      <c r="C11" s="9" t="s">
        <v>2059</v>
      </c>
      <c r="D11" s="9" t="s">
        <v>2060</v>
      </c>
      <c r="E11" s="9" t="s">
        <v>552</v>
      </c>
      <c r="F11" s="9"/>
      <c r="G11" s="9"/>
      <c r="H11" s="9"/>
      <c r="I11" s="9"/>
      <c r="J11" s="9" t="s">
        <v>2061</v>
      </c>
    </row>
    <row r="12" spans="1:10" ht="30" customHeight="1">
      <c r="A12" s="9" t="s">
        <v>1772</v>
      </c>
      <c r="B12" s="9" t="s">
        <v>2062</v>
      </c>
      <c r="C12" s="9" t="s">
        <v>2063</v>
      </c>
      <c r="D12" s="9" t="s">
        <v>2064</v>
      </c>
      <c r="E12" s="9" t="s">
        <v>196</v>
      </c>
      <c r="F12" s="9"/>
      <c r="G12" s="9"/>
      <c r="H12" s="9"/>
      <c r="I12" s="9"/>
      <c r="J12" s="9" t="s">
        <v>2065</v>
      </c>
    </row>
    <row r="13" spans="1:10" ht="30" customHeight="1">
      <c r="A13" s="9" t="s">
        <v>1772</v>
      </c>
      <c r="B13" s="9" t="s">
        <v>2066</v>
      </c>
      <c r="C13" s="9" t="s">
        <v>2067</v>
      </c>
      <c r="D13" s="9" t="s">
        <v>2068</v>
      </c>
      <c r="E13" s="9" t="s">
        <v>552</v>
      </c>
      <c r="F13" s="9"/>
      <c r="G13" s="9"/>
      <c r="H13" s="9"/>
      <c r="I13" s="9"/>
      <c r="J13" s="9" t="s">
        <v>2069</v>
      </c>
    </row>
    <row r="14" spans="1:10" ht="30" customHeight="1">
      <c r="A14" s="9" t="s">
        <v>1772</v>
      </c>
      <c r="B14" s="9" t="s">
        <v>2070</v>
      </c>
      <c r="C14" s="9" t="s">
        <v>2071</v>
      </c>
      <c r="D14" s="9" t="s">
        <v>2072</v>
      </c>
      <c r="E14" s="9" t="s">
        <v>196</v>
      </c>
      <c r="F14" s="9"/>
      <c r="G14" s="9"/>
      <c r="H14" s="9"/>
      <c r="I14" s="9"/>
      <c r="J14" s="9" t="s">
        <v>2073</v>
      </c>
    </row>
    <row r="15" spans="1:10" ht="30" customHeight="1">
      <c r="A15" s="9" t="s">
        <v>1772</v>
      </c>
      <c r="B15" s="9" t="s">
        <v>2074</v>
      </c>
      <c r="C15" s="9" t="s">
        <v>1033</v>
      </c>
      <c r="D15" s="9" t="s">
        <v>2075</v>
      </c>
      <c r="E15" s="9" t="s">
        <v>196</v>
      </c>
      <c r="F15" s="9"/>
      <c r="G15" s="9"/>
      <c r="H15" s="9"/>
      <c r="I15" s="9"/>
      <c r="J15" s="9" t="s">
        <v>2076</v>
      </c>
    </row>
    <row r="16" spans="1:10" ht="30" customHeight="1">
      <c r="A16" s="9" t="s">
        <v>1772</v>
      </c>
      <c r="B16" s="9" t="s">
        <v>2077</v>
      </c>
      <c r="C16" s="9" t="s">
        <v>871</v>
      </c>
      <c r="D16" s="9" t="s">
        <v>2078</v>
      </c>
      <c r="E16" s="9" t="s">
        <v>2044</v>
      </c>
      <c r="F16" s="9"/>
      <c r="G16" s="9"/>
      <c r="H16" s="9"/>
      <c r="I16" s="9"/>
      <c r="J16" s="9" t="s">
        <v>2079</v>
      </c>
    </row>
    <row r="17" spans="1:10" ht="30" customHeight="1">
      <c r="A17" s="9" t="s">
        <v>1772</v>
      </c>
      <c r="B17" s="9" t="s">
        <v>2080</v>
      </c>
      <c r="C17" s="9" t="s">
        <v>2081</v>
      </c>
      <c r="D17" s="9" t="s">
        <v>2082</v>
      </c>
      <c r="E17" s="9" t="s">
        <v>214</v>
      </c>
      <c r="F17" s="9"/>
      <c r="G17" s="9"/>
      <c r="H17" s="9"/>
      <c r="I17" s="9"/>
      <c r="J17" s="9" t="s">
        <v>2083</v>
      </c>
    </row>
    <row r="18" spans="1:10" ht="30" customHeight="1">
      <c r="A18" s="9" t="s">
        <v>1772</v>
      </c>
      <c r="B18" s="9" t="s">
        <v>2084</v>
      </c>
      <c r="C18" s="9" t="s">
        <v>2085</v>
      </c>
      <c r="D18" s="9" t="s">
        <v>2086</v>
      </c>
      <c r="E18" s="9" t="s">
        <v>196</v>
      </c>
      <c r="F18" s="9"/>
      <c r="G18" s="9"/>
      <c r="H18" s="9"/>
      <c r="I18" s="9"/>
      <c r="J18" s="9" t="s">
        <v>2087</v>
      </c>
    </row>
    <row r="19" spans="1:10" ht="30" customHeight="1">
      <c r="A19" s="9" t="s">
        <v>1772</v>
      </c>
      <c r="B19" s="9" t="s">
        <v>2088</v>
      </c>
      <c r="C19" s="9" t="s">
        <v>2089</v>
      </c>
      <c r="D19" s="9" t="s">
        <v>2090</v>
      </c>
      <c r="E19" s="9" t="s">
        <v>552</v>
      </c>
      <c r="F19" s="9"/>
      <c r="G19" s="9"/>
      <c r="H19" s="9"/>
      <c r="I19" s="9"/>
      <c r="J19" s="9" t="s">
        <v>2091</v>
      </c>
    </row>
    <row r="20" spans="1:10" ht="30" customHeight="1">
      <c r="A20" s="9" t="s">
        <v>1772</v>
      </c>
      <c r="B20" s="9" t="s">
        <v>2092</v>
      </c>
      <c r="C20" s="9" t="s">
        <v>2093</v>
      </c>
      <c r="D20" s="9" t="s">
        <v>2094</v>
      </c>
      <c r="E20" s="9" t="s">
        <v>552</v>
      </c>
      <c r="F20" s="9"/>
      <c r="G20" s="9"/>
      <c r="H20" s="9"/>
      <c r="I20" s="9"/>
      <c r="J20" s="9" t="s">
        <v>2095</v>
      </c>
    </row>
    <row r="21" spans="1:10" ht="30" customHeight="1">
      <c r="A21" s="9" t="s">
        <v>2096</v>
      </c>
      <c r="B21" s="9" t="s">
        <v>1871</v>
      </c>
      <c r="C21" s="9" t="s">
        <v>2097</v>
      </c>
      <c r="D21" s="9" t="s">
        <v>2098</v>
      </c>
      <c r="E21" s="9"/>
      <c r="F21" s="9"/>
      <c r="G21" s="9" t="s">
        <v>2099</v>
      </c>
      <c r="H21" s="9"/>
      <c r="I21" s="9"/>
      <c r="J21" s="9" t="s">
        <v>2100</v>
      </c>
    </row>
    <row r="22" spans="1:10">
      <c r="A22" s="9" t="s">
        <v>2096</v>
      </c>
      <c r="B22" s="9" t="s">
        <v>1877</v>
      </c>
      <c r="C22" s="9" t="s">
        <v>2101</v>
      </c>
      <c r="D22" s="9" t="s">
        <v>2102</v>
      </c>
      <c r="E22" s="9"/>
      <c r="F22" s="9"/>
      <c r="G22" s="9" t="s">
        <v>728</v>
      </c>
      <c r="H22" s="9"/>
      <c r="I22" s="9"/>
      <c r="J22" s="9" t="s">
        <v>2103</v>
      </c>
    </row>
    <row r="23" spans="1:10" ht="30" customHeight="1">
      <c r="A23" s="9" t="s">
        <v>2096</v>
      </c>
      <c r="B23" s="9" t="s">
        <v>1881</v>
      </c>
      <c r="C23" s="9" t="s">
        <v>725</v>
      </c>
      <c r="D23" s="9" t="s">
        <v>2104</v>
      </c>
      <c r="E23" s="9"/>
      <c r="F23" s="9"/>
      <c r="G23" s="9" t="s">
        <v>728</v>
      </c>
      <c r="H23" s="9"/>
      <c r="I23" s="9"/>
      <c r="J23" s="9" t="s">
        <v>2105</v>
      </c>
    </row>
    <row r="24" spans="1:10">
      <c r="A24" s="9" t="s">
        <v>2096</v>
      </c>
      <c r="B24" s="9" t="s">
        <v>1884</v>
      </c>
      <c r="C24" s="9" t="s">
        <v>2106</v>
      </c>
      <c r="D24" s="9" t="s">
        <v>2107</v>
      </c>
      <c r="E24" s="9"/>
      <c r="F24" s="9"/>
      <c r="G24" s="9" t="s">
        <v>380</v>
      </c>
      <c r="H24" s="9"/>
      <c r="I24" s="9"/>
      <c r="J24" s="9" t="s">
        <v>2108</v>
      </c>
    </row>
    <row r="25" spans="1:10">
      <c r="A25" s="9" t="s">
        <v>2096</v>
      </c>
      <c r="B25" s="9" t="s">
        <v>1887</v>
      </c>
      <c r="C25" s="9" t="s">
        <v>2109</v>
      </c>
      <c r="D25" s="9" t="s">
        <v>2110</v>
      </c>
      <c r="E25" s="9"/>
      <c r="F25" s="9"/>
      <c r="G25" s="9" t="s">
        <v>380</v>
      </c>
      <c r="H25" s="9"/>
      <c r="I25" s="9"/>
      <c r="J25" s="9" t="s">
        <v>2111</v>
      </c>
    </row>
    <row r="26" spans="1:10">
      <c r="A26" s="9" t="s">
        <v>2096</v>
      </c>
      <c r="B26" s="9" t="s">
        <v>423</v>
      </c>
      <c r="C26" s="9" t="s">
        <v>2112</v>
      </c>
      <c r="D26" s="9" t="s">
        <v>2113</v>
      </c>
      <c r="E26" s="9"/>
      <c r="F26" s="9"/>
      <c r="G26" s="9" t="s">
        <v>304</v>
      </c>
      <c r="H26" s="9"/>
      <c r="I26" s="9"/>
      <c r="J26" s="9" t="s">
        <v>2114</v>
      </c>
    </row>
    <row r="27" spans="1:10">
      <c r="A27" s="9" t="s">
        <v>2096</v>
      </c>
      <c r="B27" s="9" t="s">
        <v>428</v>
      </c>
      <c r="C27" s="9" t="s">
        <v>2115</v>
      </c>
      <c r="D27" s="9" t="s">
        <v>2116</v>
      </c>
      <c r="E27" s="9"/>
      <c r="F27" s="9"/>
      <c r="G27" s="9" t="s">
        <v>426</v>
      </c>
      <c r="H27" s="9"/>
      <c r="I27" s="9"/>
      <c r="J27" s="9" t="s">
        <v>2117</v>
      </c>
    </row>
    <row r="28" spans="1:10">
      <c r="A28" s="9" t="s">
        <v>2096</v>
      </c>
      <c r="B28" s="9" t="s">
        <v>1896</v>
      </c>
      <c r="C28" s="9" t="s">
        <v>2071</v>
      </c>
      <c r="D28" s="9" t="s">
        <v>2118</v>
      </c>
      <c r="E28" s="9"/>
      <c r="F28" s="9"/>
      <c r="G28" s="9" t="s">
        <v>247</v>
      </c>
      <c r="H28" s="9"/>
      <c r="I28" s="9"/>
      <c r="J28" s="9" t="s">
        <v>2119</v>
      </c>
    </row>
    <row r="29" spans="1:10" ht="30" customHeight="1">
      <c r="A29" s="9" t="s">
        <v>2096</v>
      </c>
      <c r="B29" s="9" t="s">
        <v>433</v>
      </c>
      <c r="C29" s="9" t="s">
        <v>2120</v>
      </c>
      <c r="D29" s="9" t="s">
        <v>2121</v>
      </c>
      <c r="E29" s="9"/>
      <c r="F29" s="9"/>
      <c r="G29" s="9" t="s">
        <v>2122</v>
      </c>
      <c r="H29" s="9"/>
      <c r="I29" s="9"/>
      <c r="J29" s="9" t="s">
        <v>2123</v>
      </c>
    </row>
    <row r="30" spans="1:10" ht="30" customHeight="1">
      <c r="A30" s="9" t="s">
        <v>2096</v>
      </c>
      <c r="B30" s="9" t="s">
        <v>1902</v>
      </c>
      <c r="C30" s="9" t="s">
        <v>2124</v>
      </c>
      <c r="D30" s="9" t="s">
        <v>2125</v>
      </c>
      <c r="E30" s="9"/>
      <c r="F30" s="9"/>
      <c r="G30" s="9" t="s">
        <v>2126</v>
      </c>
      <c r="H30" s="9"/>
      <c r="I30" s="9"/>
      <c r="J30" s="9" t="s">
        <v>2127</v>
      </c>
    </row>
    <row r="31" spans="1:10" ht="45" customHeight="1">
      <c r="A31" s="9" t="s">
        <v>1772</v>
      </c>
      <c r="B31" s="9" t="s">
        <v>2036</v>
      </c>
      <c r="C31" s="9" t="s">
        <v>2128</v>
      </c>
      <c r="D31" s="9" t="s">
        <v>2129</v>
      </c>
      <c r="E31" s="9" t="s">
        <v>2044</v>
      </c>
      <c r="F31" s="9" t="s">
        <v>2039</v>
      </c>
      <c r="G31" s="9" t="s">
        <v>2130</v>
      </c>
      <c r="H31" s="9"/>
      <c r="I31" s="9"/>
      <c r="J31" s="9" t="s">
        <v>2131</v>
      </c>
    </row>
    <row r="32" spans="1:10" ht="45" customHeight="1">
      <c r="A32" s="9" t="s">
        <v>1772</v>
      </c>
      <c r="B32" s="9" t="s">
        <v>2041</v>
      </c>
      <c r="C32" s="9" t="s">
        <v>2043</v>
      </c>
      <c r="D32" s="9" t="s">
        <v>2045</v>
      </c>
      <c r="E32" s="9" t="s">
        <v>2044</v>
      </c>
      <c r="F32" s="9" t="s">
        <v>2132</v>
      </c>
      <c r="G32" s="9" t="s">
        <v>2133</v>
      </c>
      <c r="H32" s="9"/>
      <c r="I32" s="9"/>
      <c r="J32" s="9"/>
    </row>
    <row r="33" spans="1:10" ht="45" customHeight="1">
      <c r="A33" s="9" t="s">
        <v>1772</v>
      </c>
      <c r="B33" s="9" t="s">
        <v>2046</v>
      </c>
      <c r="C33" s="9" t="s">
        <v>2134</v>
      </c>
      <c r="D33" s="9" t="s">
        <v>2135</v>
      </c>
      <c r="E33" s="9" t="s">
        <v>552</v>
      </c>
      <c r="F33" s="9" t="s">
        <v>2039</v>
      </c>
      <c r="G33" s="9" t="s">
        <v>2130</v>
      </c>
      <c r="H33" s="9"/>
      <c r="I33" s="9"/>
      <c r="J33" s="9" t="s">
        <v>2136</v>
      </c>
    </row>
    <row r="34" spans="1:10" ht="45" customHeight="1">
      <c r="A34" s="9" t="s">
        <v>1772</v>
      </c>
      <c r="B34" s="9" t="s">
        <v>2050</v>
      </c>
      <c r="C34" s="9" t="s">
        <v>2052</v>
      </c>
      <c r="D34" s="9" t="s">
        <v>2053</v>
      </c>
      <c r="E34" s="9" t="s">
        <v>552</v>
      </c>
      <c r="F34" s="9" t="s">
        <v>2132</v>
      </c>
      <c r="G34" s="9" t="s">
        <v>2137</v>
      </c>
      <c r="H34" s="9"/>
      <c r="I34" s="9"/>
      <c r="J34" s="9"/>
    </row>
    <row r="35" spans="1:10" ht="45" customHeight="1">
      <c r="A35" s="9" t="s">
        <v>1772</v>
      </c>
      <c r="B35" s="9" t="s">
        <v>2054</v>
      </c>
      <c r="C35" s="9" t="s">
        <v>2138</v>
      </c>
      <c r="D35" s="9" t="s">
        <v>2139</v>
      </c>
      <c r="E35" s="9" t="s">
        <v>196</v>
      </c>
      <c r="F35" s="9" t="s">
        <v>2140</v>
      </c>
      <c r="G35" s="9" t="s">
        <v>2137</v>
      </c>
      <c r="H35" s="9"/>
      <c r="I35" s="9"/>
      <c r="J35" s="9" t="s">
        <v>2141</v>
      </c>
    </row>
    <row r="36" spans="1:10" ht="45" customHeight="1">
      <c r="A36" s="9" t="s">
        <v>1772</v>
      </c>
      <c r="B36" s="9" t="s">
        <v>2058</v>
      </c>
      <c r="C36" s="9" t="s">
        <v>2060</v>
      </c>
      <c r="D36" s="9" t="s">
        <v>2061</v>
      </c>
      <c r="E36" s="9" t="s">
        <v>552</v>
      </c>
      <c r="F36" s="9" t="s">
        <v>2132</v>
      </c>
      <c r="G36" s="9" t="s">
        <v>2142</v>
      </c>
      <c r="H36" s="9"/>
      <c r="I36" s="9"/>
      <c r="J36" s="9"/>
    </row>
    <row r="37" spans="1:10" ht="45" customHeight="1">
      <c r="A37" s="9" t="s">
        <v>1772</v>
      </c>
      <c r="B37" s="9" t="s">
        <v>2062</v>
      </c>
      <c r="C37" s="9" t="s">
        <v>2064</v>
      </c>
      <c r="D37" s="9" t="s">
        <v>2065</v>
      </c>
      <c r="E37" s="9" t="s">
        <v>196</v>
      </c>
      <c r="F37" s="9" t="s">
        <v>2132</v>
      </c>
      <c r="G37" s="9" t="s">
        <v>2143</v>
      </c>
      <c r="H37" s="9"/>
      <c r="I37" s="9"/>
      <c r="J37" s="9"/>
    </row>
    <row r="38" spans="1:10" ht="60" customHeight="1">
      <c r="A38" s="9" t="s">
        <v>1772</v>
      </c>
      <c r="B38" s="9" t="s">
        <v>2066</v>
      </c>
      <c r="C38" s="9" t="s">
        <v>2068</v>
      </c>
      <c r="D38" s="9" t="s">
        <v>2069</v>
      </c>
      <c r="E38" s="9" t="s">
        <v>552</v>
      </c>
      <c r="F38" s="9" t="s">
        <v>2132</v>
      </c>
      <c r="G38" s="9" t="s">
        <v>2137</v>
      </c>
      <c r="H38" s="9"/>
      <c r="I38" s="9"/>
      <c r="J38" s="9"/>
    </row>
    <row r="39" spans="1:10" ht="45" customHeight="1">
      <c r="A39" s="9" t="s">
        <v>1772</v>
      </c>
      <c r="B39" s="9" t="s">
        <v>2070</v>
      </c>
      <c r="C39" s="9" t="s">
        <v>2072</v>
      </c>
      <c r="D39" s="9" t="s">
        <v>2073</v>
      </c>
      <c r="E39" s="9" t="s">
        <v>196</v>
      </c>
      <c r="F39" s="9" t="s">
        <v>2132</v>
      </c>
      <c r="G39" s="9" t="s">
        <v>2144</v>
      </c>
      <c r="H39" s="9"/>
      <c r="I39" s="9"/>
      <c r="J39" s="9"/>
    </row>
    <row r="40" spans="1:10" ht="45" customHeight="1">
      <c r="A40" s="9" t="s">
        <v>1772</v>
      </c>
      <c r="B40" s="9" t="s">
        <v>2074</v>
      </c>
      <c r="C40" s="9" t="s">
        <v>2075</v>
      </c>
      <c r="D40" s="9" t="s">
        <v>2076</v>
      </c>
      <c r="E40" s="9" t="s">
        <v>196</v>
      </c>
      <c r="F40" s="9" t="s">
        <v>2132</v>
      </c>
      <c r="G40" s="9" t="s">
        <v>2145</v>
      </c>
      <c r="H40" s="9"/>
      <c r="I40" s="9"/>
      <c r="J40" s="9"/>
    </row>
    <row r="41" spans="1:10" ht="60" customHeight="1">
      <c r="A41" s="9" t="s">
        <v>1772</v>
      </c>
      <c r="B41" s="9" t="s">
        <v>2077</v>
      </c>
      <c r="C41" s="9" t="s">
        <v>2078</v>
      </c>
      <c r="D41" s="9" t="s">
        <v>2079</v>
      </c>
      <c r="E41" s="9" t="s">
        <v>2044</v>
      </c>
      <c r="F41" s="9" t="s">
        <v>2132</v>
      </c>
      <c r="G41" s="9" t="s">
        <v>2146</v>
      </c>
      <c r="H41" s="9"/>
      <c r="I41" s="9"/>
      <c r="J41" s="9"/>
    </row>
    <row r="42" spans="1:10" ht="60" customHeight="1">
      <c r="A42" s="9" t="s">
        <v>1772</v>
      </c>
      <c r="B42" s="9" t="s">
        <v>2080</v>
      </c>
      <c r="C42" s="9" t="s">
        <v>2082</v>
      </c>
      <c r="D42" s="9" t="s">
        <v>2083</v>
      </c>
      <c r="E42" s="9" t="s">
        <v>214</v>
      </c>
      <c r="F42" s="9" t="s">
        <v>2132</v>
      </c>
      <c r="G42" s="9" t="s">
        <v>2147</v>
      </c>
      <c r="H42" s="9"/>
      <c r="I42" s="9"/>
      <c r="J42" s="9"/>
    </row>
    <row r="43" spans="1:10" ht="30" customHeight="1">
      <c r="A43" s="9" t="s">
        <v>1772</v>
      </c>
      <c r="B43" s="9" t="s">
        <v>2084</v>
      </c>
      <c r="C43" s="9" t="s">
        <v>2086</v>
      </c>
      <c r="D43" s="9" t="s">
        <v>2087</v>
      </c>
      <c r="E43" s="9" t="s">
        <v>196</v>
      </c>
      <c r="F43" s="9" t="s">
        <v>2132</v>
      </c>
      <c r="G43" s="9" t="s">
        <v>2148</v>
      </c>
      <c r="H43" s="9"/>
      <c r="I43" s="9"/>
      <c r="J43" s="9"/>
    </row>
    <row r="44" spans="1:10" ht="30" customHeight="1">
      <c r="A44" s="9" t="s">
        <v>2149</v>
      </c>
      <c r="B44" s="9" t="s">
        <v>930</v>
      </c>
      <c r="C44" s="9" t="s">
        <v>2150</v>
      </c>
      <c r="D44" s="9" t="s">
        <v>933</v>
      </c>
      <c r="E44" s="9" t="s">
        <v>196</v>
      </c>
      <c r="F44" s="9" t="s">
        <v>2132</v>
      </c>
      <c r="G44" s="9" t="s">
        <v>2151</v>
      </c>
      <c r="H44" s="9"/>
      <c r="I44" s="9"/>
      <c r="J44" s="9"/>
    </row>
    <row r="45" spans="1:10" ht="30" customHeight="1">
      <c r="A45" s="9" t="s">
        <v>2149</v>
      </c>
      <c r="B45" s="9" t="s">
        <v>686</v>
      </c>
      <c r="C45" s="9" t="s">
        <v>2152</v>
      </c>
      <c r="D45" s="9" t="s">
        <v>689</v>
      </c>
      <c r="E45" s="9" t="s">
        <v>214</v>
      </c>
      <c r="F45" s="9" t="s">
        <v>2132</v>
      </c>
      <c r="G45" s="9" t="s">
        <v>616</v>
      </c>
      <c r="H45" s="9"/>
      <c r="I45" s="9"/>
      <c r="J45" s="9"/>
    </row>
    <row r="46" spans="1:10" ht="30" customHeight="1">
      <c r="A46" s="9" t="s">
        <v>2149</v>
      </c>
      <c r="B46" s="9" t="s">
        <v>1104</v>
      </c>
      <c r="C46" s="9" t="s">
        <v>2153</v>
      </c>
      <c r="D46" s="9" t="s">
        <v>1106</v>
      </c>
      <c r="E46" s="9" t="s">
        <v>214</v>
      </c>
      <c r="F46" s="9" t="s">
        <v>2132</v>
      </c>
      <c r="G46" s="9" t="s">
        <v>616</v>
      </c>
      <c r="H46" s="9"/>
      <c r="I46" s="9"/>
      <c r="J46" s="9"/>
    </row>
    <row r="47" spans="1:10" ht="45" customHeight="1">
      <c r="A47" s="9" t="s">
        <v>2149</v>
      </c>
      <c r="B47" s="9" t="s">
        <v>383</v>
      </c>
      <c r="C47" s="9" t="s">
        <v>2154</v>
      </c>
      <c r="D47" s="9" t="s">
        <v>1043</v>
      </c>
      <c r="E47" s="9" t="s">
        <v>214</v>
      </c>
      <c r="F47" s="9" t="s">
        <v>2132</v>
      </c>
      <c r="G47" s="9" t="s">
        <v>2155</v>
      </c>
      <c r="H47" s="9"/>
      <c r="I47" s="9"/>
      <c r="J47" s="9"/>
    </row>
    <row r="48" spans="1:10" ht="30" customHeight="1">
      <c r="A48" s="9" t="s">
        <v>2149</v>
      </c>
      <c r="B48" s="9" t="s">
        <v>611</v>
      </c>
      <c r="C48" s="9" t="s">
        <v>2156</v>
      </c>
      <c r="D48" s="9" t="s">
        <v>615</v>
      </c>
      <c r="E48" s="9" t="s">
        <v>214</v>
      </c>
      <c r="F48" s="9" t="s">
        <v>2132</v>
      </c>
      <c r="G48" s="9" t="s">
        <v>616</v>
      </c>
      <c r="H48" s="9"/>
      <c r="I48" s="9"/>
      <c r="J48" s="9"/>
    </row>
    <row r="49" spans="1:10">
      <c r="A49" s="9" t="s">
        <v>2157</v>
      </c>
      <c r="B49" s="9" t="s">
        <v>1356</v>
      </c>
      <c r="C49" s="9" t="s">
        <v>2158</v>
      </c>
      <c r="D49" s="9" t="s">
        <v>1360</v>
      </c>
      <c r="E49" s="9" t="s">
        <v>196</v>
      </c>
      <c r="F49" s="9" t="s">
        <v>2132</v>
      </c>
      <c r="G49" s="9" t="s">
        <v>1327</v>
      </c>
      <c r="H49" s="9"/>
      <c r="I49" s="9"/>
      <c r="J49" s="9" t="s">
        <v>1330</v>
      </c>
    </row>
    <row r="50" spans="1:10">
      <c r="A50" s="9" t="s">
        <v>2157</v>
      </c>
      <c r="B50" s="9" t="s">
        <v>1212</v>
      </c>
      <c r="C50" s="9" t="s">
        <v>2159</v>
      </c>
      <c r="D50" s="9" t="s">
        <v>1216</v>
      </c>
      <c r="E50" s="9" t="s">
        <v>196</v>
      </c>
      <c r="F50" s="9" t="s">
        <v>2132</v>
      </c>
      <c r="G50" s="9" t="s">
        <v>1217</v>
      </c>
      <c r="H50" s="9"/>
      <c r="I50" s="9"/>
      <c r="J50" s="9" t="s">
        <v>1222</v>
      </c>
    </row>
    <row r="51" spans="1:10">
      <c r="A51" s="9" t="s">
        <v>2157</v>
      </c>
      <c r="B51" s="9" t="s">
        <v>1237</v>
      </c>
      <c r="C51" s="9" t="s">
        <v>2160</v>
      </c>
      <c r="D51" s="9" t="s">
        <v>1240</v>
      </c>
      <c r="E51" s="9" t="s">
        <v>196</v>
      </c>
      <c r="F51" s="9" t="s">
        <v>2132</v>
      </c>
      <c r="G51" s="9" t="s">
        <v>1241</v>
      </c>
      <c r="H51" s="9"/>
      <c r="I51" s="9"/>
      <c r="J51" s="9" t="s">
        <v>1246</v>
      </c>
    </row>
    <row r="52" spans="1:10">
      <c r="A52" s="9" t="s">
        <v>2157</v>
      </c>
      <c r="B52" s="9" t="s">
        <v>1257</v>
      </c>
      <c r="C52" s="9" t="s">
        <v>2161</v>
      </c>
      <c r="D52" s="9" t="s">
        <v>1261</v>
      </c>
      <c r="E52" s="9" t="s">
        <v>196</v>
      </c>
      <c r="F52" s="9" t="s">
        <v>2132</v>
      </c>
      <c r="G52" s="9" t="s">
        <v>1262</v>
      </c>
      <c r="H52" s="9"/>
      <c r="I52" s="9"/>
      <c r="J52" s="9" t="s">
        <v>1265</v>
      </c>
    </row>
    <row r="53" spans="1:10">
      <c r="A53" s="9" t="s">
        <v>2157</v>
      </c>
      <c r="B53" s="9" t="s">
        <v>1291</v>
      </c>
      <c r="C53" s="9" t="s">
        <v>2162</v>
      </c>
      <c r="D53" s="9" t="s">
        <v>1295</v>
      </c>
      <c r="E53" s="9" t="s">
        <v>214</v>
      </c>
      <c r="F53" s="9" t="s">
        <v>2132</v>
      </c>
      <c r="G53" s="9" t="s">
        <v>1262</v>
      </c>
      <c r="H53" s="9"/>
      <c r="I53" s="9"/>
      <c r="J53" s="9" t="s">
        <v>1299</v>
      </c>
    </row>
    <row r="54" spans="1:10">
      <c r="A54" s="9" t="s">
        <v>2157</v>
      </c>
      <c r="B54" s="9" t="s">
        <v>1322</v>
      </c>
      <c r="C54" s="9" t="s">
        <v>2163</v>
      </c>
      <c r="D54" s="9" t="s">
        <v>1326</v>
      </c>
      <c r="E54" s="9" t="s">
        <v>196</v>
      </c>
      <c r="F54" s="9" t="s">
        <v>2132</v>
      </c>
      <c r="G54" s="9" t="s">
        <v>1327</v>
      </c>
      <c r="H54" s="9"/>
      <c r="I54" s="9"/>
      <c r="J54" s="9" t="s">
        <v>1330</v>
      </c>
    </row>
    <row r="55" spans="1:10">
      <c r="A55" s="9" t="s">
        <v>2157</v>
      </c>
      <c r="B55" s="9" t="s">
        <v>1331</v>
      </c>
      <c r="C55" s="9" t="s">
        <v>2164</v>
      </c>
      <c r="D55" s="9" t="s">
        <v>1335</v>
      </c>
      <c r="E55" s="9" t="s">
        <v>196</v>
      </c>
      <c r="F55" s="9" t="s">
        <v>2132</v>
      </c>
      <c r="G55" s="9" t="s">
        <v>1327</v>
      </c>
      <c r="H55" s="9"/>
      <c r="I55" s="9"/>
      <c r="J55" s="9" t="s">
        <v>1338</v>
      </c>
    </row>
    <row r="56" spans="1:10">
      <c r="A56" s="9" t="s">
        <v>1772</v>
      </c>
      <c r="B56" s="9" t="s">
        <v>2088</v>
      </c>
      <c r="C56" s="9" t="s">
        <v>2165</v>
      </c>
      <c r="D56" s="9" t="s">
        <v>2166</v>
      </c>
      <c r="E56" s="9" t="s">
        <v>552</v>
      </c>
      <c r="F56" s="9" t="s">
        <v>2132</v>
      </c>
      <c r="G56" s="9" t="s">
        <v>2167</v>
      </c>
      <c r="H56" s="9"/>
      <c r="I56" s="9"/>
      <c r="J56" s="9" t="s">
        <v>2168</v>
      </c>
    </row>
    <row r="57" spans="1:10" ht="30" customHeight="1">
      <c r="A57" s="9" t="s">
        <v>1772</v>
      </c>
      <c r="B57" s="9" t="s">
        <v>2092</v>
      </c>
      <c r="C57" s="9" t="s">
        <v>2169</v>
      </c>
      <c r="D57" s="9" t="s">
        <v>2170</v>
      </c>
      <c r="E57" s="9" t="s">
        <v>552</v>
      </c>
      <c r="F57" s="9" t="s">
        <v>2132</v>
      </c>
      <c r="G57" s="9" t="s">
        <v>2171</v>
      </c>
      <c r="H57" s="9"/>
      <c r="I57" s="9"/>
      <c r="J57" s="9" t="s">
        <v>2172</v>
      </c>
    </row>
    <row r="58" spans="1:10">
      <c r="A58" t="s">
        <v>2173</v>
      </c>
      <c r="B58" t="s">
        <v>519</v>
      </c>
      <c r="C58" t="s">
        <v>190</v>
      </c>
      <c r="D58" t="s">
        <v>2174</v>
      </c>
      <c r="E58" t="s">
        <v>215</v>
      </c>
    </row>
    <row r="59" spans="1:10">
      <c r="A59" t="s">
        <v>2175</v>
      </c>
      <c r="B59" t="s">
        <v>2176</v>
      </c>
      <c r="C59" t="s">
        <v>190</v>
      </c>
      <c r="D59" t="s">
        <v>2177</v>
      </c>
      <c r="E59" t="s">
        <v>215</v>
      </c>
    </row>
  </sheetData>
  <autoFilter ref="A5:J57" xr:uid="{00000000-0009-0000-0000-000009000000}"/>
  <mergeCells count="2">
    <mergeCell ref="A1:J2"/>
    <mergeCell ref="A3:J3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  <pageSetUpPr fitToPage="1"/>
  </sheetPr>
  <dimension ref="A1:Q62"/>
  <sheetViews>
    <sheetView showGridLines="0" workbookViewId="0">
      <pane xSplit="6" ySplit="6" topLeftCell="H7" activePane="bottomRight" state="frozen"/>
      <selection pane="bottomRight" activeCell="D60" sqref="D60"/>
      <selection pane="bottomLeft"/>
      <selection pane="topRight"/>
    </sheetView>
  </sheetViews>
  <sheetFormatPr defaultRowHeight="15"/>
  <cols>
    <col min="1" max="1" width="14" customWidth="1"/>
    <col min="2" max="2" width="22" customWidth="1"/>
    <col min="3" max="3" width="38" customWidth="1"/>
    <col min="4" max="4" width="24" customWidth="1"/>
    <col min="5" max="5" width="22" customWidth="1"/>
    <col min="6" max="6" width="18" customWidth="1"/>
    <col min="7" max="7" width="30" customWidth="1"/>
    <col min="8" max="8" width="48" customWidth="1"/>
    <col min="9" max="10" width="58" customWidth="1"/>
    <col min="11" max="11" width="42" customWidth="1"/>
    <col min="12" max="12" width="46" customWidth="1"/>
    <col min="13" max="13" width="48" customWidth="1"/>
    <col min="14" max="14" width="40" customWidth="1"/>
    <col min="15" max="15" width="45" customWidth="1"/>
    <col min="16" max="16" width="20" customWidth="1"/>
    <col min="17" max="17" width="14" customWidth="1"/>
  </cols>
  <sheetData>
    <row r="1" spans="1:17">
      <c r="A1" s="37" t="s">
        <v>2178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spans="1:17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ht="33.950000000000003" customHeight="1">
      <c r="A3" s="47" t="s">
        <v>2179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5" spans="1:17">
      <c r="A5" s="66" t="s">
        <v>2180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</row>
    <row r="6" spans="1:17">
      <c r="A6" s="32" t="s">
        <v>2181</v>
      </c>
      <c r="B6" s="32" t="s">
        <v>2182</v>
      </c>
      <c r="C6" s="32" t="s">
        <v>2183</v>
      </c>
      <c r="D6" s="32" t="s">
        <v>1601</v>
      </c>
      <c r="E6" s="32" t="s">
        <v>2184</v>
      </c>
      <c r="F6" s="32" t="s">
        <v>2185</v>
      </c>
      <c r="G6" s="32" t="s">
        <v>2186</v>
      </c>
      <c r="H6" s="32" t="s">
        <v>2187</v>
      </c>
      <c r="I6" s="32" t="s">
        <v>2188</v>
      </c>
      <c r="J6" s="32" t="s">
        <v>2189</v>
      </c>
      <c r="K6" s="32" t="s">
        <v>2190</v>
      </c>
      <c r="L6" s="32" t="s">
        <v>2191</v>
      </c>
      <c r="M6" s="32" t="s">
        <v>2192</v>
      </c>
      <c r="N6" s="32" t="s">
        <v>2193</v>
      </c>
      <c r="O6" s="32" t="s">
        <v>2194</v>
      </c>
      <c r="P6" s="32" t="s">
        <v>153</v>
      </c>
      <c r="Q6" s="32" t="s">
        <v>2195</v>
      </c>
    </row>
    <row r="7" spans="1:17" ht="30" customHeight="1">
      <c r="A7" s="9" t="s">
        <v>2196</v>
      </c>
      <c r="B7" s="9" t="s">
        <v>2197</v>
      </c>
      <c r="C7" s="9" t="s">
        <v>2198</v>
      </c>
      <c r="D7" s="9" t="s">
        <v>200</v>
      </c>
      <c r="E7" s="9" t="s">
        <v>2199</v>
      </c>
      <c r="F7" s="9" t="s">
        <v>2200</v>
      </c>
      <c r="G7" s="9" t="s">
        <v>2201</v>
      </c>
      <c r="H7" s="9" t="s">
        <v>2202</v>
      </c>
      <c r="I7" s="9" t="s">
        <v>2203</v>
      </c>
      <c r="J7" s="9" t="s">
        <v>2204</v>
      </c>
      <c r="K7" s="9" t="s">
        <v>2205</v>
      </c>
      <c r="L7" s="9" t="s">
        <v>2206</v>
      </c>
      <c r="M7" s="9" t="s">
        <v>2207</v>
      </c>
      <c r="N7" s="9" t="s">
        <v>2208</v>
      </c>
      <c r="O7" s="9" t="s">
        <v>2209</v>
      </c>
      <c r="P7" s="9"/>
      <c r="Q7" s="9" t="s">
        <v>2210</v>
      </c>
    </row>
    <row r="8" spans="1:17" ht="45" customHeight="1">
      <c r="A8" s="9" t="s">
        <v>2211</v>
      </c>
      <c r="B8" s="9" t="s">
        <v>2212</v>
      </c>
      <c r="C8" s="9" t="s">
        <v>2213</v>
      </c>
      <c r="D8" s="9" t="s">
        <v>200</v>
      </c>
      <c r="E8" s="9" t="s">
        <v>2199</v>
      </c>
      <c r="F8" s="9" t="s">
        <v>2200</v>
      </c>
      <c r="G8" s="9" t="s">
        <v>2214</v>
      </c>
      <c r="H8" s="9" t="s">
        <v>2215</v>
      </c>
      <c r="I8" s="9" t="s">
        <v>2216</v>
      </c>
      <c r="J8" s="9" t="s">
        <v>2217</v>
      </c>
      <c r="K8" s="9" t="s">
        <v>2218</v>
      </c>
      <c r="L8" s="9" t="s">
        <v>2219</v>
      </c>
      <c r="M8" s="9" t="s">
        <v>2220</v>
      </c>
      <c r="N8" s="9" t="s">
        <v>2221</v>
      </c>
      <c r="O8" s="9" t="s">
        <v>2209</v>
      </c>
      <c r="P8" s="9"/>
      <c r="Q8" s="9" t="s">
        <v>2222</v>
      </c>
    </row>
    <row r="9" spans="1:17" ht="30" customHeight="1">
      <c r="A9" s="9" t="s">
        <v>2223</v>
      </c>
      <c r="B9" s="9" t="s">
        <v>2212</v>
      </c>
      <c r="C9" s="9" t="s">
        <v>2224</v>
      </c>
      <c r="D9" s="9" t="s">
        <v>200</v>
      </c>
      <c r="E9" s="9" t="s">
        <v>2199</v>
      </c>
      <c r="F9" s="9" t="s">
        <v>2200</v>
      </c>
      <c r="G9" s="9" t="s">
        <v>2225</v>
      </c>
      <c r="H9" s="9" t="s">
        <v>2226</v>
      </c>
      <c r="I9" s="9" t="s">
        <v>2227</v>
      </c>
      <c r="J9" s="9" t="s">
        <v>2228</v>
      </c>
      <c r="K9" s="9" t="s">
        <v>2229</v>
      </c>
      <c r="L9" s="9" t="s">
        <v>2230</v>
      </c>
      <c r="M9" s="9" t="s">
        <v>2231</v>
      </c>
      <c r="N9" s="9" t="s">
        <v>2232</v>
      </c>
      <c r="O9" s="9" t="s">
        <v>2209</v>
      </c>
      <c r="P9" s="9"/>
      <c r="Q9" s="9" t="s">
        <v>2222</v>
      </c>
    </row>
    <row r="10" spans="1:17" ht="30" customHeight="1">
      <c r="A10" s="9" t="s">
        <v>2233</v>
      </c>
      <c r="B10" s="9" t="s">
        <v>29</v>
      </c>
      <c r="C10" s="9" t="s">
        <v>2234</v>
      </c>
      <c r="D10" s="9" t="s">
        <v>1606</v>
      </c>
      <c r="E10" s="9" t="s">
        <v>1612</v>
      </c>
      <c r="F10" s="9" t="s">
        <v>2235</v>
      </c>
      <c r="G10" s="9" t="s">
        <v>2236</v>
      </c>
      <c r="H10" s="9" t="s">
        <v>2237</v>
      </c>
      <c r="I10" s="9" t="s">
        <v>2238</v>
      </c>
      <c r="J10" s="9" t="s">
        <v>2239</v>
      </c>
      <c r="K10" s="9" t="s">
        <v>2240</v>
      </c>
      <c r="L10" s="9" t="s">
        <v>2241</v>
      </c>
      <c r="M10" s="9" t="s">
        <v>2242</v>
      </c>
      <c r="N10" s="9" t="s">
        <v>2243</v>
      </c>
      <c r="O10" s="9" t="s">
        <v>2244</v>
      </c>
      <c r="P10" s="9"/>
      <c r="Q10" s="9" t="s">
        <v>2210</v>
      </c>
    </row>
    <row r="11" spans="1:17" ht="30" customHeight="1">
      <c r="A11" s="9" t="s">
        <v>2245</v>
      </c>
      <c r="B11" s="9" t="s">
        <v>29</v>
      </c>
      <c r="C11" s="9" t="s">
        <v>2246</v>
      </c>
      <c r="D11" s="9" t="s">
        <v>200</v>
      </c>
      <c r="E11" s="9" t="s">
        <v>2199</v>
      </c>
      <c r="F11" s="9" t="s">
        <v>2247</v>
      </c>
      <c r="G11" s="9" t="s">
        <v>2248</v>
      </c>
      <c r="H11" s="9" t="s">
        <v>2249</v>
      </c>
      <c r="I11" s="9" t="s">
        <v>2250</v>
      </c>
      <c r="J11" s="9" t="s">
        <v>2251</v>
      </c>
      <c r="K11" s="9" t="s">
        <v>2252</v>
      </c>
      <c r="L11" s="9" t="s">
        <v>2253</v>
      </c>
      <c r="M11" s="9" t="s">
        <v>2254</v>
      </c>
      <c r="N11" s="9" t="s">
        <v>2255</v>
      </c>
      <c r="O11" s="9" t="s">
        <v>2256</v>
      </c>
      <c r="P11" s="9"/>
      <c r="Q11" s="9" t="s">
        <v>2210</v>
      </c>
    </row>
    <row r="12" spans="1:17" ht="45" customHeight="1">
      <c r="A12" s="9" t="s">
        <v>2257</v>
      </c>
      <c r="B12" s="9" t="s">
        <v>33</v>
      </c>
      <c r="C12" s="9" t="s">
        <v>2258</v>
      </c>
      <c r="D12" s="9" t="s">
        <v>1606</v>
      </c>
      <c r="E12" s="9" t="s">
        <v>1612</v>
      </c>
      <c r="F12" s="9" t="s">
        <v>2247</v>
      </c>
      <c r="G12" s="9" t="s">
        <v>2259</v>
      </c>
      <c r="H12" s="9" t="s">
        <v>2260</v>
      </c>
      <c r="I12" s="9" t="s">
        <v>2261</v>
      </c>
      <c r="J12" s="9" t="s">
        <v>2262</v>
      </c>
      <c r="K12" s="9" t="s">
        <v>2263</v>
      </c>
      <c r="L12" s="9" t="s">
        <v>2264</v>
      </c>
      <c r="M12" s="9" t="s">
        <v>2265</v>
      </c>
      <c r="N12" s="9" t="s">
        <v>2266</v>
      </c>
      <c r="O12" s="9" t="s">
        <v>2267</v>
      </c>
      <c r="P12" s="9"/>
      <c r="Q12" s="9" t="s">
        <v>2268</v>
      </c>
    </row>
    <row r="13" spans="1:17" ht="45" customHeight="1">
      <c r="A13" s="9" t="s">
        <v>2269</v>
      </c>
      <c r="B13" s="9" t="s">
        <v>33</v>
      </c>
      <c r="C13" s="9" t="s">
        <v>2270</v>
      </c>
      <c r="D13" s="9" t="s">
        <v>190</v>
      </c>
      <c r="E13" s="9" t="s">
        <v>618</v>
      </c>
      <c r="F13" s="9" t="s">
        <v>2200</v>
      </c>
      <c r="G13" s="9" t="s">
        <v>2271</v>
      </c>
      <c r="H13" s="9" t="s">
        <v>2272</v>
      </c>
      <c r="I13" s="9" t="s">
        <v>2273</v>
      </c>
      <c r="J13" s="9" t="s">
        <v>2274</v>
      </c>
      <c r="K13" s="9" t="s">
        <v>2275</v>
      </c>
      <c r="L13" s="9" t="s">
        <v>2276</v>
      </c>
      <c r="M13" s="9" t="s">
        <v>2277</v>
      </c>
      <c r="N13" s="9" t="s">
        <v>2278</v>
      </c>
      <c r="O13" s="9" t="s">
        <v>2267</v>
      </c>
      <c r="P13" s="9"/>
      <c r="Q13" s="9" t="s">
        <v>2268</v>
      </c>
    </row>
    <row r="14" spans="1:17" ht="30" customHeight="1">
      <c r="A14" s="9" t="s">
        <v>2279</v>
      </c>
      <c r="B14" s="9" t="s">
        <v>31</v>
      </c>
      <c r="C14" s="9" t="s">
        <v>2280</v>
      </c>
      <c r="D14" s="9" t="s">
        <v>1606</v>
      </c>
      <c r="E14" s="9" t="s">
        <v>1612</v>
      </c>
      <c r="F14" s="9" t="s">
        <v>2235</v>
      </c>
      <c r="G14" s="9" t="s">
        <v>2281</v>
      </c>
      <c r="H14" s="9" t="s">
        <v>2282</v>
      </c>
      <c r="I14" s="9" t="s">
        <v>2283</v>
      </c>
      <c r="J14" s="9" t="s">
        <v>2284</v>
      </c>
      <c r="K14" s="9" t="s">
        <v>2285</v>
      </c>
      <c r="L14" s="9" t="s">
        <v>2286</v>
      </c>
      <c r="M14" s="9" t="s">
        <v>2287</v>
      </c>
      <c r="N14" s="9" t="s">
        <v>2288</v>
      </c>
      <c r="O14" s="9" t="s">
        <v>2209</v>
      </c>
      <c r="P14" s="9"/>
      <c r="Q14" s="9" t="s">
        <v>2210</v>
      </c>
    </row>
    <row r="15" spans="1:17" ht="30" customHeight="1">
      <c r="A15" s="9" t="s">
        <v>2289</v>
      </c>
      <c r="B15" s="9" t="s">
        <v>2290</v>
      </c>
      <c r="C15" s="9" t="s">
        <v>2291</v>
      </c>
      <c r="D15" s="9" t="s">
        <v>200</v>
      </c>
      <c r="E15" s="9" t="s">
        <v>2199</v>
      </c>
      <c r="F15" s="9" t="s">
        <v>2200</v>
      </c>
      <c r="G15" s="9" t="s">
        <v>2292</v>
      </c>
      <c r="H15" s="9" t="s">
        <v>2293</v>
      </c>
      <c r="I15" s="9" t="s">
        <v>2294</v>
      </c>
      <c r="J15" s="9" t="s">
        <v>2295</v>
      </c>
      <c r="K15" s="9" t="s">
        <v>2296</v>
      </c>
      <c r="L15" s="9" t="s">
        <v>2297</v>
      </c>
      <c r="M15" s="9" t="s">
        <v>2298</v>
      </c>
      <c r="N15" s="9" t="s">
        <v>2299</v>
      </c>
      <c r="O15" s="9" t="s">
        <v>2209</v>
      </c>
      <c r="P15" s="9"/>
      <c r="Q15" s="9" t="s">
        <v>2210</v>
      </c>
    </row>
    <row r="16" spans="1:17" ht="45" customHeight="1">
      <c r="A16" s="9" t="s">
        <v>2300</v>
      </c>
      <c r="B16" s="9" t="s">
        <v>2290</v>
      </c>
      <c r="C16" s="9" t="s">
        <v>2301</v>
      </c>
      <c r="D16" s="9" t="s">
        <v>200</v>
      </c>
      <c r="E16" s="9" t="s">
        <v>2199</v>
      </c>
      <c r="F16" s="9" t="s">
        <v>2302</v>
      </c>
      <c r="G16" s="9" t="s">
        <v>2303</v>
      </c>
      <c r="H16" s="9" t="s">
        <v>2304</v>
      </c>
      <c r="I16" s="9" t="s">
        <v>2305</v>
      </c>
      <c r="J16" s="9" t="s">
        <v>2306</v>
      </c>
      <c r="K16" s="9" t="s">
        <v>2307</v>
      </c>
      <c r="L16" s="9" t="s">
        <v>2308</v>
      </c>
      <c r="M16" s="9" t="s">
        <v>2309</v>
      </c>
      <c r="N16" s="9" t="s">
        <v>2310</v>
      </c>
      <c r="O16" s="9" t="s">
        <v>2209</v>
      </c>
      <c r="P16" s="9"/>
      <c r="Q16" s="9" t="s">
        <v>2210</v>
      </c>
    </row>
    <row r="17" spans="1:17" ht="30" customHeight="1">
      <c r="A17" s="9" t="s">
        <v>2311</v>
      </c>
      <c r="B17" s="9" t="s">
        <v>2290</v>
      </c>
      <c r="C17" s="9" t="s">
        <v>2312</v>
      </c>
      <c r="D17" s="9" t="s">
        <v>1606</v>
      </c>
      <c r="E17" s="9" t="s">
        <v>1612</v>
      </c>
      <c r="F17" s="9" t="s">
        <v>2235</v>
      </c>
      <c r="G17" s="9" t="s">
        <v>2313</v>
      </c>
      <c r="H17" s="9" t="s">
        <v>2314</v>
      </c>
      <c r="I17" s="9" t="s">
        <v>2315</v>
      </c>
      <c r="J17" s="9" t="s">
        <v>2316</v>
      </c>
      <c r="K17" s="9" t="s">
        <v>2317</v>
      </c>
      <c r="L17" s="9" t="s">
        <v>2318</v>
      </c>
      <c r="M17" s="9" t="s">
        <v>2319</v>
      </c>
      <c r="N17" s="9" t="s">
        <v>2320</v>
      </c>
      <c r="O17" s="9" t="s">
        <v>2244</v>
      </c>
      <c r="P17" s="9"/>
      <c r="Q17" s="9" t="s">
        <v>2210</v>
      </c>
    </row>
    <row r="18" spans="1:17" ht="30" customHeight="1">
      <c r="A18" s="9" t="s">
        <v>2321</v>
      </c>
      <c r="B18" s="9" t="s">
        <v>1095</v>
      </c>
      <c r="C18" s="9" t="s">
        <v>2322</v>
      </c>
      <c r="D18" s="9" t="s">
        <v>200</v>
      </c>
      <c r="E18" s="9" t="s">
        <v>2199</v>
      </c>
      <c r="F18" s="9" t="s">
        <v>2235</v>
      </c>
      <c r="G18" s="9" t="s">
        <v>2323</v>
      </c>
      <c r="H18" s="9" t="s">
        <v>2324</v>
      </c>
      <c r="I18" s="9" t="s">
        <v>2325</v>
      </c>
      <c r="J18" s="9" t="s">
        <v>2326</v>
      </c>
      <c r="K18" s="9" t="s">
        <v>2327</v>
      </c>
      <c r="L18" s="9" t="s">
        <v>2328</v>
      </c>
      <c r="M18" s="9" t="s">
        <v>2329</v>
      </c>
      <c r="N18" s="9" t="s">
        <v>2330</v>
      </c>
      <c r="O18" s="9" t="s">
        <v>2331</v>
      </c>
      <c r="P18" s="9"/>
      <c r="Q18" s="9" t="s">
        <v>2210</v>
      </c>
    </row>
    <row r="19" spans="1:17" ht="30" customHeight="1">
      <c r="A19" s="9" t="s">
        <v>2332</v>
      </c>
      <c r="B19" s="9" t="s">
        <v>2333</v>
      </c>
      <c r="C19" s="9" t="s">
        <v>2334</v>
      </c>
      <c r="D19" s="9" t="s">
        <v>200</v>
      </c>
      <c r="E19" s="9" t="s">
        <v>2199</v>
      </c>
      <c r="F19" s="9" t="s">
        <v>2247</v>
      </c>
      <c r="G19" s="9" t="s">
        <v>2335</v>
      </c>
      <c r="H19" s="9" t="s">
        <v>2336</v>
      </c>
      <c r="I19" s="9" t="s">
        <v>2337</v>
      </c>
      <c r="J19" s="9" t="s">
        <v>2338</v>
      </c>
      <c r="K19" s="9" t="s">
        <v>2339</v>
      </c>
      <c r="L19" s="9" t="s">
        <v>2340</v>
      </c>
      <c r="M19" s="9" t="s">
        <v>2341</v>
      </c>
      <c r="N19" s="9" t="s">
        <v>2342</v>
      </c>
      <c r="O19" s="9" t="s">
        <v>2209</v>
      </c>
      <c r="P19" s="9"/>
      <c r="Q19" s="9" t="s">
        <v>2210</v>
      </c>
    </row>
    <row r="20" spans="1:17" ht="45" customHeight="1">
      <c r="A20" s="9" t="s">
        <v>2343</v>
      </c>
      <c r="B20" s="9" t="s">
        <v>2344</v>
      </c>
      <c r="C20" s="9" t="s">
        <v>2345</v>
      </c>
      <c r="D20" s="9" t="s">
        <v>1606</v>
      </c>
      <c r="E20" s="9" t="s">
        <v>1642</v>
      </c>
      <c r="F20" s="9" t="s">
        <v>2346</v>
      </c>
      <c r="G20" s="9" t="s">
        <v>2347</v>
      </c>
      <c r="H20" s="9" t="s">
        <v>2348</v>
      </c>
      <c r="I20" s="9" t="s">
        <v>2349</v>
      </c>
      <c r="J20" s="9" t="s">
        <v>2350</v>
      </c>
      <c r="K20" s="9" t="s">
        <v>2351</v>
      </c>
      <c r="L20" s="9" t="s">
        <v>2352</v>
      </c>
      <c r="M20" s="9" t="s">
        <v>2353</v>
      </c>
      <c r="N20" s="9" t="s">
        <v>2267</v>
      </c>
      <c r="O20" s="9"/>
      <c r="P20" s="9" t="s">
        <v>2210</v>
      </c>
      <c r="Q20" s="9"/>
    </row>
    <row r="21" spans="1:17" ht="45" customHeight="1">
      <c r="A21" s="9" t="s">
        <v>2354</v>
      </c>
      <c r="B21" s="9" t="s">
        <v>2344</v>
      </c>
      <c r="C21" s="9" t="s">
        <v>2355</v>
      </c>
      <c r="D21" s="9" t="s">
        <v>200</v>
      </c>
      <c r="E21" s="9" t="s">
        <v>2199</v>
      </c>
      <c r="F21" s="9" t="s">
        <v>2247</v>
      </c>
      <c r="G21" s="9" t="s">
        <v>2356</v>
      </c>
      <c r="H21" s="9" t="s">
        <v>2357</v>
      </c>
      <c r="I21" s="9" t="s">
        <v>2358</v>
      </c>
      <c r="J21" s="9" t="s">
        <v>2359</v>
      </c>
      <c r="K21" s="9" t="s">
        <v>2360</v>
      </c>
      <c r="L21" s="9" t="s">
        <v>2361</v>
      </c>
      <c r="M21" s="9" t="s">
        <v>2362</v>
      </c>
      <c r="N21" s="9" t="s">
        <v>2363</v>
      </c>
      <c r="O21" s="9" t="s">
        <v>2364</v>
      </c>
      <c r="P21" s="9"/>
      <c r="Q21" s="9" t="s">
        <v>2210</v>
      </c>
    </row>
    <row r="22" spans="1:17" ht="60" customHeight="1">
      <c r="A22" s="9" t="s">
        <v>2365</v>
      </c>
      <c r="B22" s="9" t="s">
        <v>1637</v>
      </c>
      <c r="C22" s="9" t="s">
        <v>2366</v>
      </c>
      <c r="D22" s="9" t="s">
        <v>1606</v>
      </c>
      <c r="E22" s="9" t="s">
        <v>1612</v>
      </c>
      <c r="F22" s="9" t="s">
        <v>2235</v>
      </c>
      <c r="G22" s="9" t="s">
        <v>2367</v>
      </c>
      <c r="H22" s="9" t="s">
        <v>2368</v>
      </c>
      <c r="I22" s="9" t="s">
        <v>2369</v>
      </c>
      <c r="J22" s="9" t="s">
        <v>2370</v>
      </c>
      <c r="K22" s="9" t="s">
        <v>2371</v>
      </c>
      <c r="L22" s="9" t="s">
        <v>2372</v>
      </c>
      <c r="M22" s="9" t="s">
        <v>2373</v>
      </c>
      <c r="N22" s="9" t="s">
        <v>2374</v>
      </c>
      <c r="O22" s="9" t="s">
        <v>2375</v>
      </c>
      <c r="P22" s="9"/>
      <c r="Q22" s="9" t="s">
        <v>2210</v>
      </c>
    </row>
    <row r="23" spans="1:17" ht="30" customHeight="1">
      <c r="A23" s="9" t="s">
        <v>2376</v>
      </c>
      <c r="B23" s="9" t="s">
        <v>2377</v>
      </c>
      <c r="C23" s="9" t="s">
        <v>2378</v>
      </c>
      <c r="D23" s="9" t="s">
        <v>1606</v>
      </c>
      <c r="E23" s="9" t="s">
        <v>1642</v>
      </c>
      <c r="F23" s="9" t="s">
        <v>2379</v>
      </c>
      <c r="G23" s="9" t="s">
        <v>2380</v>
      </c>
      <c r="H23" s="9" t="s">
        <v>2381</v>
      </c>
      <c r="I23" s="9" t="s">
        <v>2382</v>
      </c>
      <c r="J23" s="9" t="s">
        <v>2383</v>
      </c>
      <c r="K23" s="9" t="s">
        <v>2384</v>
      </c>
      <c r="L23" s="9" t="s">
        <v>2385</v>
      </c>
      <c r="M23" s="9" t="s">
        <v>2386</v>
      </c>
      <c r="N23" s="9" t="s">
        <v>2267</v>
      </c>
      <c r="O23" s="9"/>
      <c r="P23" s="9" t="s">
        <v>2210</v>
      </c>
      <c r="Q23" s="9"/>
    </row>
    <row r="24" spans="1:17" ht="30" customHeight="1">
      <c r="A24" s="9" t="s">
        <v>2387</v>
      </c>
      <c r="B24" s="9" t="s">
        <v>2377</v>
      </c>
      <c r="C24" s="9" t="s">
        <v>2388</v>
      </c>
      <c r="D24" s="9" t="s">
        <v>190</v>
      </c>
      <c r="E24" s="9" t="s">
        <v>618</v>
      </c>
      <c r="F24" s="9" t="s">
        <v>2200</v>
      </c>
      <c r="G24" s="9" t="s">
        <v>2389</v>
      </c>
      <c r="H24" s="9" t="s">
        <v>2390</v>
      </c>
      <c r="I24" s="9" t="s">
        <v>2391</v>
      </c>
      <c r="J24" s="9" t="s">
        <v>2392</v>
      </c>
      <c r="K24" s="9" t="s">
        <v>2393</v>
      </c>
      <c r="L24" s="9" t="s">
        <v>2394</v>
      </c>
      <c r="M24" s="9" t="s">
        <v>2395</v>
      </c>
      <c r="N24" s="9" t="s">
        <v>2396</v>
      </c>
      <c r="O24" s="9" t="s">
        <v>2397</v>
      </c>
      <c r="P24" s="9"/>
      <c r="Q24" s="9" t="s">
        <v>2210</v>
      </c>
    </row>
    <row r="25" spans="1:17" ht="30" customHeight="1">
      <c r="A25" s="9" t="s">
        <v>2398</v>
      </c>
      <c r="B25" s="9" t="s">
        <v>2399</v>
      </c>
      <c r="C25" s="9" t="s">
        <v>2400</v>
      </c>
      <c r="D25" s="9" t="s">
        <v>200</v>
      </c>
      <c r="E25" s="9" t="s">
        <v>2199</v>
      </c>
      <c r="F25" s="9" t="s">
        <v>2247</v>
      </c>
      <c r="G25" s="9" t="s">
        <v>2401</v>
      </c>
      <c r="H25" s="9" t="s">
        <v>2402</v>
      </c>
      <c r="I25" s="9" t="s">
        <v>2403</v>
      </c>
      <c r="J25" s="9" t="s">
        <v>2404</v>
      </c>
      <c r="K25" s="9" t="s">
        <v>2405</v>
      </c>
      <c r="L25" s="9" t="s">
        <v>2406</v>
      </c>
      <c r="M25" s="9" t="s">
        <v>2407</v>
      </c>
      <c r="N25" s="9" t="s">
        <v>2408</v>
      </c>
      <c r="O25" s="9" t="s">
        <v>2209</v>
      </c>
      <c r="P25" s="9"/>
      <c r="Q25" s="9" t="s">
        <v>2210</v>
      </c>
    </row>
    <row r="26" spans="1:17" ht="30" customHeight="1">
      <c r="A26" s="9" t="s">
        <v>2409</v>
      </c>
      <c r="B26" s="9" t="s">
        <v>2399</v>
      </c>
      <c r="C26" s="9" t="s">
        <v>2410</v>
      </c>
      <c r="D26" s="9" t="s">
        <v>200</v>
      </c>
      <c r="E26" s="9" t="s">
        <v>2199</v>
      </c>
      <c r="F26" s="9" t="s">
        <v>2302</v>
      </c>
      <c r="G26" s="9" t="s">
        <v>2411</v>
      </c>
      <c r="H26" s="9" t="s">
        <v>2412</v>
      </c>
      <c r="I26" s="9" t="s">
        <v>2413</v>
      </c>
      <c r="J26" s="9" t="s">
        <v>2414</v>
      </c>
      <c r="K26" s="9" t="s">
        <v>2415</v>
      </c>
      <c r="L26" s="9" t="s">
        <v>2416</v>
      </c>
      <c r="M26" s="9" t="s">
        <v>2417</v>
      </c>
      <c r="N26" s="9" t="s">
        <v>2418</v>
      </c>
      <c r="O26" s="9" t="s">
        <v>2419</v>
      </c>
      <c r="P26" s="9"/>
      <c r="Q26" s="9" t="s">
        <v>2210</v>
      </c>
    </row>
    <row r="27" spans="1:17" ht="45" customHeight="1">
      <c r="A27" s="9" t="s">
        <v>2420</v>
      </c>
      <c r="B27" s="9" t="s">
        <v>1637</v>
      </c>
      <c r="C27" s="9" t="s">
        <v>2421</v>
      </c>
      <c r="D27" s="9" t="s">
        <v>1636</v>
      </c>
      <c r="E27" s="9" t="s">
        <v>1642</v>
      </c>
      <c r="F27" s="9" t="s">
        <v>2422</v>
      </c>
      <c r="G27" s="9" t="s">
        <v>2423</v>
      </c>
      <c r="H27" s="9" t="s">
        <v>2424</v>
      </c>
      <c r="I27" s="9" t="s">
        <v>2425</v>
      </c>
      <c r="J27" s="9" t="s">
        <v>2426</v>
      </c>
      <c r="K27" s="9" t="s">
        <v>2427</v>
      </c>
      <c r="L27" s="9" t="s">
        <v>2428</v>
      </c>
      <c r="M27" s="9" t="s">
        <v>2429</v>
      </c>
      <c r="N27" s="9" t="s">
        <v>2430</v>
      </c>
      <c r="O27" s="9"/>
      <c r="P27" s="9" t="s">
        <v>2210</v>
      </c>
      <c r="Q27" s="9"/>
    </row>
    <row r="28" spans="1:17" ht="45" customHeight="1">
      <c r="A28" s="9" t="s">
        <v>2431</v>
      </c>
      <c r="B28" s="9" t="s">
        <v>1637</v>
      </c>
      <c r="C28" s="9" t="s">
        <v>2432</v>
      </c>
      <c r="D28" s="9" t="s">
        <v>1636</v>
      </c>
      <c r="E28" s="9" t="s">
        <v>1642</v>
      </c>
      <c r="F28" s="9" t="s">
        <v>2433</v>
      </c>
      <c r="G28" s="9" t="s">
        <v>2434</v>
      </c>
      <c r="H28" s="9" t="s">
        <v>2435</v>
      </c>
      <c r="I28" s="9" t="s">
        <v>2436</v>
      </c>
      <c r="J28" s="9" t="s">
        <v>2437</v>
      </c>
      <c r="K28" s="9" t="s">
        <v>2438</v>
      </c>
      <c r="L28" s="9" t="s">
        <v>2439</v>
      </c>
      <c r="M28" s="9" t="s">
        <v>2440</v>
      </c>
      <c r="N28" s="9" t="s">
        <v>2441</v>
      </c>
      <c r="O28" s="9"/>
      <c r="P28" s="9" t="s">
        <v>2210</v>
      </c>
      <c r="Q28" s="9"/>
    </row>
    <row r="29" spans="1:17" ht="45" customHeight="1">
      <c r="A29" s="9" t="s">
        <v>2442</v>
      </c>
      <c r="B29" s="9" t="s">
        <v>1637</v>
      </c>
      <c r="C29" s="9" t="s">
        <v>2443</v>
      </c>
      <c r="D29" s="9" t="s">
        <v>1636</v>
      </c>
      <c r="E29" s="9" t="s">
        <v>618</v>
      </c>
      <c r="F29" s="9" t="s">
        <v>2444</v>
      </c>
      <c r="G29" s="9" t="s">
        <v>2445</v>
      </c>
      <c r="H29" s="9" t="s">
        <v>2446</v>
      </c>
      <c r="I29" s="9" t="s">
        <v>2447</v>
      </c>
      <c r="J29" s="9" t="s">
        <v>2448</v>
      </c>
      <c r="K29" s="9" t="s">
        <v>2449</v>
      </c>
      <c r="L29" s="9" t="s">
        <v>2450</v>
      </c>
      <c r="M29" s="9" t="s">
        <v>2451</v>
      </c>
      <c r="N29" s="9" t="s">
        <v>2452</v>
      </c>
      <c r="O29" s="9"/>
      <c r="P29" s="9" t="s">
        <v>2210</v>
      </c>
      <c r="Q29" s="9"/>
    </row>
    <row r="30" spans="1:17" ht="30" customHeight="1">
      <c r="A30" s="9" t="s">
        <v>2453</v>
      </c>
      <c r="B30" s="9" t="s">
        <v>2399</v>
      </c>
      <c r="C30" s="9" t="s">
        <v>2454</v>
      </c>
      <c r="D30" s="9" t="s">
        <v>1606</v>
      </c>
      <c r="E30" s="9" t="s">
        <v>1612</v>
      </c>
      <c r="F30" s="9" t="s">
        <v>2235</v>
      </c>
      <c r="G30" s="9" t="s">
        <v>2455</v>
      </c>
      <c r="H30" s="9" t="s">
        <v>2456</v>
      </c>
      <c r="I30" s="9" t="s">
        <v>2457</v>
      </c>
      <c r="J30" s="9" t="s">
        <v>2458</v>
      </c>
      <c r="K30" s="9" t="s">
        <v>2459</v>
      </c>
      <c r="L30" s="9" t="s">
        <v>2460</v>
      </c>
      <c r="M30" s="9" t="s">
        <v>2461</v>
      </c>
      <c r="N30" s="9" t="s">
        <v>2462</v>
      </c>
      <c r="O30" s="9" t="s">
        <v>2331</v>
      </c>
      <c r="P30" s="9"/>
      <c r="Q30" s="9" t="s">
        <v>2210</v>
      </c>
    </row>
    <row r="31" spans="1:17" ht="30" customHeight="1">
      <c r="A31" s="9" t="s">
        <v>2463</v>
      </c>
      <c r="B31" s="9" t="s">
        <v>2212</v>
      </c>
      <c r="C31" s="9" t="s">
        <v>2464</v>
      </c>
      <c r="D31" s="9" t="s">
        <v>200</v>
      </c>
      <c r="E31" s="9" t="s">
        <v>2199</v>
      </c>
      <c r="F31" s="9" t="s">
        <v>2200</v>
      </c>
      <c r="G31" s="9" t="s">
        <v>2465</v>
      </c>
      <c r="H31" s="9" t="s">
        <v>2466</v>
      </c>
      <c r="I31" s="9" t="s">
        <v>2467</v>
      </c>
      <c r="J31" s="9" t="s">
        <v>2468</v>
      </c>
      <c r="K31" s="9" t="s">
        <v>2469</v>
      </c>
      <c r="L31" s="9" t="s">
        <v>2470</v>
      </c>
      <c r="M31" s="9" t="s">
        <v>2471</v>
      </c>
      <c r="N31" s="9" t="s">
        <v>2472</v>
      </c>
      <c r="O31" s="9" t="s">
        <v>2473</v>
      </c>
      <c r="P31" s="9"/>
      <c r="Q31" s="9" t="s">
        <v>2210</v>
      </c>
    </row>
    <row r="32" spans="1:17" ht="30" customHeight="1">
      <c r="A32" s="9" t="s">
        <v>2474</v>
      </c>
      <c r="B32" s="9" t="s">
        <v>33</v>
      </c>
      <c r="C32" s="9" t="s">
        <v>2475</v>
      </c>
      <c r="D32" s="9" t="s">
        <v>1606</v>
      </c>
      <c r="E32" s="9" t="s">
        <v>1612</v>
      </c>
      <c r="F32" s="9" t="s">
        <v>2247</v>
      </c>
      <c r="G32" s="9" t="s">
        <v>2476</v>
      </c>
      <c r="H32" s="9" t="s">
        <v>2477</v>
      </c>
      <c r="I32" s="9" t="s">
        <v>2478</v>
      </c>
      <c r="J32" s="9" t="s">
        <v>2479</v>
      </c>
      <c r="K32" s="9" t="s">
        <v>2480</v>
      </c>
      <c r="L32" s="9" t="s">
        <v>2481</v>
      </c>
      <c r="M32" s="9" t="s">
        <v>2482</v>
      </c>
      <c r="N32" s="9" t="s">
        <v>2483</v>
      </c>
      <c r="O32" s="9" t="s">
        <v>435</v>
      </c>
      <c r="P32" s="9"/>
      <c r="Q32" s="9" t="s">
        <v>2210</v>
      </c>
    </row>
    <row r="36" spans="1:17">
      <c r="A36" s="66" t="s">
        <v>2484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</row>
    <row r="37" spans="1:17" ht="30" customHeight="1">
      <c r="A37" s="32" t="s">
        <v>2485</v>
      </c>
      <c r="B37" s="32" t="s">
        <v>2486</v>
      </c>
      <c r="C37" s="32" t="s">
        <v>2487</v>
      </c>
      <c r="D37" s="32" t="s">
        <v>2488</v>
      </c>
      <c r="E37" s="32" t="s">
        <v>2489</v>
      </c>
      <c r="F37" s="32" t="s">
        <v>2490</v>
      </c>
      <c r="G37" s="32" t="s">
        <v>2491</v>
      </c>
      <c r="H37" s="32" t="s">
        <v>2344</v>
      </c>
      <c r="I37" s="32" t="s">
        <v>2492</v>
      </c>
      <c r="J37" s="32" t="s">
        <v>1605</v>
      </c>
      <c r="K37" s="32" t="s">
        <v>150</v>
      </c>
    </row>
    <row r="38" spans="1:17" ht="45" customHeight="1">
      <c r="A38" s="9" t="s">
        <v>29</v>
      </c>
      <c r="B38" s="9" t="s">
        <v>2493</v>
      </c>
      <c r="C38" s="9" t="s">
        <v>2494</v>
      </c>
      <c r="D38" s="9" t="s">
        <v>2495</v>
      </c>
      <c r="E38" s="9" t="s">
        <v>2496</v>
      </c>
      <c r="F38" s="9" t="s">
        <v>2497</v>
      </c>
      <c r="G38" s="9" t="s">
        <v>2498</v>
      </c>
      <c r="H38" s="9" t="s">
        <v>2499</v>
      </c>
      <c r="I38" s="9" t="s">
        <v>2500</v>
      </c>
      <c r="J38" s="9" t="s">
        <v>2501</v>
      </c>
      <c r="K38" s="9" t="s">
        <v>1612</v>
      </c>
    </row>
    <row r="39" spans="1:17" ht="90" customHeight="1">
      <c r="A39" s="9" t="s">
        <v>33</v>
      </c>
      <c r="B39" s="9" t="s">
        <v>2502</v>
      </c>
      <c r="C39" s="9" t="s">
        <v>2503</v>
      </c>
      <c r="D39" s="9" t="s">
        <v>2504</v>
      </c>
      <c r="E39" s="9" t="s">
        <v>2505</v>
      </c>
      <c r="F39" s="9" t="s">
        <v>2506</v>
      </c>
      <c r="G39" s="9" t="s">
        <v>2507</v>
      </c>
      <c r="H39" s="9" t="s">
        <v>2508</v>
      </c>
      <c r="I39" s="9" t="s">
        <v>2509</v>
      </c>
      <c r="J39" s="9" t="s">
        <v>1619</v>
      </c>
      <c r="K39" s="9" t="s">
        <v>1612</v>
      </c>
    </row>
    <row r="40" spans="1:17" ht="45" customHeight="1">
      <c r="A40" s="9" t="s">
        <v>31</v>
      </c>
      <c r="B40" s="9" t="s">
        <v>2510</v>
      </c>
      <c r="C40" s="9" t="s">
        <v>2511</v>
      </c>
      <c r="D40" s="9" t="s">
        <v>2512</v>
      </c>
      <c r="E40" s="9" t="s">
        <v>2513</v>
      </c>
      <c r="F40" s="9" t="s">
        <v>2514</v>
      </c>
      <c r="G40" s="9" t="s">
        <v>2515</v>
      </c>
      <c r="H40" s="9" t="s">
        <v>2516</v>
      </c>
      <c r="I40" s="9" t="s">
        <v>2517</v>
      </c>
      <c r="J40" s="9" t="s">
        <v>2279</v>
      </c>
      <c r="K40" s="9" t="s">
        <v>1612</v>
      </c>
    </row>
    <row r="41" spans="1:17" ht="60" customHeight="1">
      <c r="A41" s="9" t="s">
        <v>2377</v>
      </c>
      <c r="B41" s="9" t="s">
        <v>2518</v>
      </c>
      <c r="C41" s="9" t="s">
        <v>2519</v>
      </c>
      <c r="D41" s="9" t="s">
        <v>2520</v>
      </c>
      <c r="E41" s="9" t="s">
        <v>2521</v>
      </c>
      <c r="F41" s="9" t="s">
        <v>2522</v>
      </c>
      <c r="G41" s="9" t="s">
        <v>2523</v>
      </c>
      <c r="H41" s="9" t="s">
        <v>2524</v>
      </c>
      <c r="I41" s="9" t="s">
        <v>2525</v>
      </c>
      <c r="J41" s="9" t="s">
        <v>2526</v>
      </c>
      <c r="K41" s="9" t="s">
        <v>618</v>
      </c>
    </row>
    <row r="42" spans="1:17" ht="45" customHeight="1">
      <c r="A42" s="9" t="s">
        <v>1095</v>
      </c>
      <c r="B42" s="9" t="s">
        <v>2527</v>
      </c>
      <c r="C42" s="9" t="s">
        <v>2528</v>
      </c>
      <c r="D42" s="9" t="s">
        <v>2529</v>
      </c>
      <c r="E42" s="9" t="s">
        <v>2530</v>
      </c>
      <c r="F42" s="9" t="s">
        <v>2531</v>
      </c>
      <c r="G42" s="9" t="s">
        <v>2532</v>
      </c>
      <c r="H42" s="9" t="s">
        <v>2533</v>
      </c>
      <c r="I42" s="9" t="s">
        <v>2534</v>
      </c>
      <c r="J42" s="9" t="s">
        <v>2321</v>
      </c>
      <c r="K42" s="9" t="s">
        <v>2199</v>
      </c>
    </row>
    <row r="43" spans="1:17" ht="45" customHeight="1">
      <c r="A43" s="9" t="s">
        <v>2535</v>
      </c>
      <c r="B43" s="9" t="s">
        <v>2536</v>
      </c>
      <c r="C43" s="9" t="s">
        <v>2537</v>
      </c>
      <c r="D43" s="9" t="s">
        <v>2538</v>
      </c>
      <c r="E43" s="9" t="s">
        <v>2539</v>
      </c>
      <c r="F43" s="9" t="s">
        <v>2540</v>
      </c>
      <c r="G43" s="9" t="s">
        <v>2541</v>
      </c>
      <c r="H43" s="9" t="s">
        <v>2542</v>
      </c>
      <c r="I43" s="9" t="s">
        <v>2543</v>
      </c>
      <c r="J43" s="9" t="s">
        <v>2332</v>
      </c>
      <c r="K43" s="9" t="s">
        <v>2199</v>
      </c>
    </row>
    <row r="44" spans="1:17" ht="45" customHeight="1">
      <c r="A44" s="9" t="s">
        <v>2544</v>
      </c>
      <c r="B44" s="9" t="s">
        <v>2545</v>
      </c>
      <c r="C44" s="9" t="s">
        <v>2546</v>
      </c>
      <c r="D44" s="9" t="s">
        <v>2547</v>
      </c>
      <c r="E44" s="9" t="s">
        <v>2548</v>
      </c>
      <c r="F44" s="9" t="s">
        <v>2549</v>
      </c>
      <c r="G44" s="9" t="s">
        <v>2550</v>
      </c>
      <c r="H44" s="9" t="s">
        <v>2551</v>
      </c>
      <c r="I44" s="9" t="s">
        <v>2552</v>
      </c>
      <c r="J44" s="9" t="s">
        <v>2553</v>
      </c>
      <c r="K44" s="9" t="s">
        <v>1612</v>
      </c>
    </row>
    <row r="48" spans="1:17">
      <c r="A48" s="66" t="s">
        <v>2554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</row>
    <row r="49" spans="1:8">
      <c r="A49" s="32" t="s">
        <v>2555</v>
      </c>
      <c r="B49" s="32" t="s">
        <v>2556</v>
      </c>
      <c r="C49" s="32" t="s">
        <v>2557</v>
      </c>
      <c r="D49" s="32" t="s">
        <v>2558</v>
      </c>
      <c r="E49" s="32" t="s">
        <v>2559</v>
      </c>
      <c r="F49" s="32" t="s">
        <v>150</v>
      </c>
      <c r="G49" s="32" t="s">
        <v>153</v>
      </c>
      <c r="H49" s="32" t="s">
        <v>2195</v>
      </c>
    </row>
    <row r="50" spans="1:8" ht="90" customHeight="1">
      <c r="A50" s="9" t="s">
        <v>2560</v>
      </c>
      <c r="B50" s="9" t="s">
        <v>2196</v>
      </c>
      <c r="C50" s="9" t="s">
        <v>2561</v>
      </c>
      <c r="D50" s="9" t="s">
        <v>2562</v>
      </c>
      <c r="E50" s="9" t="s">
        <v>2563</v>
      </c>
      <c r="F50" s="9" t="s">
        <v>2199</v>
      </c>
      <c r="G50" s="9"/>
      <c r="H50" s="9" t="s">
        <v>2210</v>
      </c>
    </row>
    <row r="51" spans="1:8" ht="90" customHeight="1">
      <c r="A51" s="9" t="s">
        <v>2564</v>
      </c>
      <c r="B51" s="9" t="s">
        <v>2565</v>
      </c>
      <c r="C51" s="9" t="s">
        <v>2566</v>
      </c>
      <c r="D51" s="9" t="s">
        <v>2567</v>
      </c>
      <c r="E51" s="9" t="s">
        <v>2568</v>
      </c>
      <c r="F51" s="9" t="s">
        <v>2199</v>
      </c>
      <c r="G51" s="9"/>
      <c r="H51" s="9" t="s">
        <v>2222</v>
      </c>
    </row>
    <row r="52" spans="1:8" ht="105" customHeight="1">
      <c r="A52" s="9" t="s">
        <v>2569</v>
      </c>
      <c r="B52" s="9" t="s">
        <v>2245</v>
      </c>
      <c r="C52" s="9" t="s">
        <v>2570</v>
      </c>
      <c r="D52" s="9" t="s">
        <v>2571</v>
      </c>
      <c r="E52" s="9" t="s">
        <v>2572</v>
      </c>
      <c r="F52" s="9" t="s">
        <v>2199</v>
      </c>
      <c r="G52" s="9"/>
      <c r="H52" s="9" t="s">
        <v>2210</v>
      </c>
    </row>
    <row r="53" spans="1:8" ht="150" customHeight="1">
      <c r="A53" s="9" t="s">
        <v>2573</v>
      </c>
      <c r="B53" s="9" t="s">
        <v>2574</v>
      </c>
      <c r="C53" s="9" t="s">
        <v>33</v>
      </c>
      <c r="D53" s="9" t="s">
        <v>2575</v>
      </c>
      <c r="E53" s="9" t="s">
        <v>2576</v>
      </c>
      <c r="F53" s="9" t="s">
        <v>1612</v>
      </c>
      <c r="G53" s="9"/>
      <c r="H53" s="9" t="s">
        <v>2268</v>
      </c>
    </row>
    <row r="54" spans="1:8" ht="120" customHeight="1">
      <c r="A54" s="9" t="s">
        <v>2577</v>
      </c>
      <c r="B54" s="9" t="s">
        <v>2279</v>
      </c>
      <c r="C54" s="9" t="s">
        <v>31</v>
      </c>
      <c r="D54" s="9" t="s">
        <v>2578</v>
      </c>
      <c r="E54" s="9" t="s">
        <v>2579</v>
      </c>
      <c r="F54" s="9" t="s">
        <v>1612</v>
      </c>
      <c r="G54" s="9"/>
      <c r="H54" s="9" t="s">
        <v>2210</v>
      </c>
    </row>
    <row r="55" spans="1:8" ht="75" customHeight="1">
      <c r="A55" s="9" t="s">
        <v>2580</v>
      </c>
      <c r="B55" s="9" t="s">
        <v>2581</v>
      </c>
      <c r="C55" s="9" t="s">
        <v>148</v>
      </c>
      <c r="D55" s="9" t="s">
        <v>2582</v>
      </c>
      <c r="E55" s="9" t="s">
        <v>2583</v>
      </c>
      <c r="F55" s="9" t="s">
        <v>2199</v>
      </c>
      <c r="G55" s="9"/>
      <c r="H55" s="9" t="s">
        <v>2210</v>
      </c>
    </row>
    <row r="56" spans="1:8" ht="135" customHeight="1">
      <c r="A56" s="9" t="s">
        <v>2584</v>
      </c>
      <c r="B56" s="9" t="s">
        <v>2585</v>
      </c>
      <c r="C56" s="9" t="s">
        <v>2586</v>
      </c>
      <c r="D56" s="9" t="s">
        <v>2587</v>
      </c>
      <c r="E56" s="9" t="s">
        <v>2588</v>
      </c>
      <c r="F56" s="9" t="s">
        <v>2199</v>
      </c>
      <c r="G56" s="9"/>
      <c r="H56" s="9" t="s">
        <v>2210</v>
      </c>
    </row>
    <row r="57" spans="1:8" ht="135" customHeight="1">
      <c r="A57" s="9" t="s">
        <v>2589</v>
      </c>
      <c r="B57" s="9" t="s">
        <v>2590</v>
      </c>
      <c r="C57" s="9" t="s">
        <v>2591</v>
      </c>
      <c r="D57" s="9" t="s">
        <v>2592</v>
      </c>
      <c r="E57" s="9" t="s">
        <v>2593</v>
      </c>
      <c r="F57" s="9" t="s">
        <v>1612</v>
      </c>
      <c r="G57" s="9"/>
      <c r="H57" s="9" t="s">
        <v>2210</v>
      </c>
    </row>
    <row r="58" spans="1:8" ht="105" customHeight="1">
      <c r="A58" s="9" t="s">
        <v>2594</v>
      </c>
      <c r="B58" s="9" t="s">
        <v>2526</v>
      </c>
      <c r="C58" s="9" t="s">
        <v>2377</v>
      </c>
      <c r="D58" s="9" t="s">
        <v>2595</v>
      </c>
      <c r="E58" s="9" t="s">
        <v>2596</v>
      </c>
      <c r="F58" s="9" t="s">
        <v>1642</v>
      </c>
      <c r="G58" s="9"/>
      <c r="H58" s="9" t="s">
        <v>2210</v>
      </c>
    </row>
    <row r="59" spans="1:8" ht="90" customHeight="1">
      <c r="A59" s="9" t="s">
        <v>2597</v>
      </c>
      <c r="B59" s="9" t="s">
        <v>2598</v>
      </c>
      <c r="C59" s="9" t="s">
        <v>2599</v>
      </c>
      <c r="D59" s="9" t="s">
        <v>2600</v>
      </c>
      <c r="E59" s="9" t="s">
        <v>2601</v>
      </c>
      <c r="F59" s="9" t="s">
        <v>2199</v>
      </c>
      <c r="G59" s="9"/>
      <c r="H59" s="9" t="s">
        <v>2210</v>
      </c>
    </row>
    <row r="60" spans="1:8" ht="135" customHeight="1">
      <c r="A60" s="9" t="s">
        <v>2602</v>
      </c>
      <c r="B60" s="9" t="s">
        <v>2420</v>
      </c>
      <c r="C60" s="9" t="s">
        <v>2603</v>
      </c>
      <c r="D60" s="9" t="s">
        <v>2604</v>
      </c>
      <c r="E60" s="9" t="s">
        <v>2605</v>
      </c>
      <c r="F60" s="9" t="s">
        <v>1642</v>
      </c>
      <c r="G60" s="9"/>
      <c r="H60" s="9" t="s">
        <v>2210</v>
      </c>
    </row>
    <row r="61" spans="1:8" ht="105" customHeight="1">
      <c r="A61" s="9" t="s">
        <v>2606</v>
      </c>
      <c r="B61" s="9" t="s">
        <v>2463</v>
      </c>
      <c r="C61" s="9" t="s">
        <v>2607</v>
      </c>
      <c r="D61" s="9" t="s">
        <v>2608</v>
      </c>
      <c r="E61" s="9" t="s">
        <v>2609</v>
      </c>
      <c r="F61" s="9" t="s">
        <v>2199</v>
      </c>
      <c r="G61" s="9"/>
      <c r="H61" s="9" t="s">
        <v>2210</v>
      </c>
    </row>
    <row r="62" spans="1:8" ht="105" customHeight="1">
      <c r="A62" s="9" t="s">
        <v>2610</v>
      </c>
      <c r="B62" s="9" t="s">
        <v>2474</v>
      </c>
      <c r="C62" s="9" t="s">
        <v>2611</v>
      </c>
      <c r="D62" s="9" t="s">
        <v>2612</v>
      </c>
      <c r="E62" s="9" t="s">
        <v>2613</v>
      </c>
      <c r="F62" s="9" t="s">
        <v>1612</v>
      </c>
      <c r="G62" s="9"/>
      <c r="H62" s="9" t="s">
        <v>2210</v>
      </c>
    </row>
  </sheetData>
  <mergeCells count="5">
    <mergeCell ref="A3:Q3"/>
    <mergeCell ref="A48:Q48"/>
    <mergeCell ref="A5:Q5"/>
    <mergeCell ref="A1:Q2"/>
    <mergeCell ref="A36:Q36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16A20"/>
    <pageSetUpPr fitToPage="1"/>
  </sheetPr>
  <dimension ref="A1:J28"/>
  <sheetViews>
    <sheetView showGridLines="0" topLeftCell="A20" workbookViewId="0">
      <selection activeCell="C20" sqref="C20:H20"/>
    </sheetView>
  </sheetViews>
  <sheetFormatPr defaultRowHeight="15"/>
  <cols>
    <col min="1" max="1" width="4" customWidth="1"/>
    <col min="2" max="2" width="24" customWidth="1"/>
    <col min="3" max="9" width="22" customWidth="1"/>
    <col min="10" max="10" width="4" customWidth="1"/>
  </cols>
  <sheetData>
    <row r="1" spans="1:10">
      <c r="A1" s="37" t="s">
        <v>2614</v>
      </c>
      <c r="B1" s="69"/>
      <c r="C1" s="69"/>
      <c r="D1" s="69"/>
      <c r="E1" s="69"/>
      <c r="F1" s="69"/>
      <c r="G1" s="69"/>
      <c r="H1" s="69"/>
      <c r="I1" s="69"/>
      <c r="J1" s="69"/>
    </row>
    <row r="2" spans="1:10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0" ht="33.950000000000003" customHeight="1">
      <c r="A3" s="47" t="s">
        <v>2615</v>
      </c>
      <c r="B3" s="69"/>
      <c r="C3" s="69"/>
      <c r="D3" s="69"/>
      <c r="E3" s="69"/>
      <c r="F3" s="69"/>
      <c r="G3" s="69"/>
      <c r="H3" s="69"/>
      <c r="I3" s="69"/>
      <c r="J3" s="69"/>
    </row>
    <row r="5" spans="1:10">
      <c r="A5" s="67" t="s">
        <v>2616</v>
      </c>
      <c r="B5" s="69"/>
      <c r="C5" s="69"/>
      <c r="D5" s="69"/>
      <c r="E5" s="69"/>
      <c r="F5" s="69"/>
      <c r="G5" s="69"/>
      <c r="H5" s="69"/>
      <c r="I5" s="69"/>
      <c r="J5" s="69"/>
    </row>
    <row r="6" spans="1:10">
      <c r="B6" s="1" t="s">
        <v>2617</v>
      </c>
      <c r="C6" s="69" t="s">
        <v>2618</v>
      </c>
      <c r="D6" s="69"/>
      <c r="E6" s="69"/>
      <c r="F6" s="69"/>
      <c r="G6" s="69"/>
      <c r="H6" s="69"/>
      <c r="I6" s="69"/>
    </row>
    <row r="7" spans="1:10">
      <c r="B7" s="1" t="s">
        <v>2619</v>
      </c>
      <c r="C7" s="69" t="s">
        <v>28</v>
      </c>
      <c r="D7" s="69"/>
      <c r="E7" s="69"/>
      <c r="F7" s="69"/>
      <c r="G7" s="69"/>
      <c r="H7" s="69"/>
      <c r="I7" s="69"/>
    </row>
    <row r="8" spans="1:10">
      <c r="B8" s="1" t="s">
        <v>2620</v>
      </c>
      <c r="C8" s="69" t="s">
        <v>2621</v>
      </c>
      <c r="D8" s="69"/>
      <c r="E8" s="69"/>
      <c r="F8" s="69"/>
      <c r="G8" s="69"/>
      <c r="H8" s="69"/>
      <c r="I8" s="69"/>
    </row>
    <row r="9" spans="1:10">
      <c r="B9" s="1" t="s">
        <v>2622</v>
      </c>
      <c r="C9" s="69" t="s">
        <v>2623</v>
      </c>
      <c r="D9" s="69"/>
      <c r="E9" s="69"/>
      <c r="F9" s="69"/>
      <c r="G9" s="69"/>
      <c r="H9" s="69"/>
      <c r="I9" s="69"/>
    </row>
    <row r="10" spans="1:10">
      <c r="B10" s="1" t="s">
        <v>2624</v>
      </c>
      <c r="C10" s="69" t="s">
        <v>1564</v>
      </c>
      <c r="D10" s="69"/>
      <c r="E10" s="69"/>
      <c r="F10" s="69"/>
      <c r="G10" s="69"/>
      <c r="H10" s="69"/>
      <c r="I10" s="69"/>
    </row>
    <row r="11" spans="1:10">
      <c r="B11" s="1" t="s">
        <v>29</v>
      </c>
      <c r="C11" s="69" t="s">
        <v>2625</v>
      </c>
      <c r="D11" s="69"/>
      <c r="E11" s="69"/>
      <c r="F11" s="69"/>
      <c r="G11" s="69"/>
      <c r="H11" s="69"/>
      <c r="I11" s="69"/>
    </row>
    <row r="12" spans="1:10">
      <c r="B12" s="1" t="s">
        <v>31</v>
      </c>
      <c r="C12" s="69" t="s">
        <v>2626</v>
      </c>
      <c r="D12" s="69"/>
      <c r="E12" s="69"/>
      <c r="F12" s="69"/>
      <c r="G12" s="69"/>
      <c r="H12" s="69"/>
      <c r="I12" s="69"/>
    </row>
    <row r="13" spans="1:10">
      <c r="B13" s="1" t="s">
        <v>33</v>
      </c>
      <c r="C13" s="69" t="s">
        <v>34</v>
      </c>
      <c r="D13" s="69"/>
      <c r="E13" s="69"/>
      <c r="F13" s="69"/>
      <c r="G13" s="69"/>
      <c r="H13" s="69"/>
      <c r="I13" s="69"/>
    </row>
    <row r="14" spans="1:10">
      <c r="B14" s="1" t="s">
        <v>1709</v>
      </c>
      <c r="C14" s="69" t="s">
        <v>38</v>
      </c>
      <c r="D14" s="69"/>
      <c r="E14" s="69"/>
      <c r="F14" s="69"/>
      <c r="G14" s="69"/>
      <c r="H14" s="69"/>
      <c r="I14" s="69"/>
    </row>
    <row r="17" spans="1:10">
      <c r="A17" s="44" t="s">
        <v>2627</v>
      </c>
      <c r="B17" s="69"/>
      <c r="C17" s="69"/>
      <c r="D17" s="69"/>
      <c r="E17" s="69"/>
      <c r="F17" s="69"/>
      <c r="G17" s="69"/>
      <c r="H17" s="69"/>
      <c r="I17" s="69"/>
      <c r="J17" s="69"/>
    </row>
    <row r="18" spans="1:10" ht="51.95" customHeight="1">
      <c r="B18" s="13" t="s">
        <v>200</v>
      </c>
      <c r="C18" s="38" t="s">
        <v>2628</v>
      </c>
      <c r="D18" s="69"/>
      <c r="E18" s="69"/>
      <c r="F18" s="69"/>
      <c r="G18" s="69"/>
      <c r="H18" s="69"/>
      <c r="I18" t="s">
        <v>2629</v>
      </c>
    </row>
    <row r="19" spans="1:10" ht="51.95" customHeight="1">
      <c r="B19" s="14" t="s">
        <v>713</v>
      </c>
      <c r="C19" s="38" t="s">
        <v>2630</v>
      </c>
      <c r="D19" s="69"/>
      <c r="E19" s="69"/>
      <c r="F19" s="69"/>
      <c r="G19" s="69"/>
      <c r="H19" s="69"/>
      <c r="I19" t="s">
        <v>2631</v>
      </c>
    </row>
    <row r="20" spans="1:10" ht="51.95" customHeight="1">
      <c r="B20" s="21" t="s">
        <v>1636</v>
      </c>
      <c r="C20" s="38" t="s">
        <v>2632</v>
      </c>
      <c r="D20" s="69"/>
      <c r="E20" s="69"/>
      <c r="F20" s="69"/>
      <c r="G20" s="69"/>
      <c r="H20" s="69"/>
      <c r="I20" t="s">
        <v>2633</v>
      </c>
    </row>
    <row r="21" spans="1:10" ht="51.95" customHeight="1">
      <c r="B21" s="2" t="s">
        <v>190</v>
      </c>
      <c r="C21" s="38" t="s">
        <v>2634</v>
      </c>
      <c r="D21" s="69"/>
      <c r="E21" s="69"/>
      <c r="F21" s="69"/>
      <c r="G21" s="69"/>
      <c r="H21" s="69"/>
      <c r="I21" t="s">
        <v>2635</v>
      </c>
    </row>
    <row r="22" spans="1:10" ht="51.95" customHeight="1">
      <c r="B22" s="5" t="s">
        <v>2636</v>
      </c>
      <c r="C22" s="38" t="s">
        <v>2637</v>
      </c>
      <c r="D22" s="69"/>
      <c r="E22" s="69"/>
      <c r="F22" s="69"/>
      <c r="G22" s="69"/>
      <c r="H22" s="69"/>
      <c r="I22" t="s">
        <v>2638</v>
      </c>
    </row>
    <row r="25" spans="1:10">
      <c r="A25" s="67" t="s">
        <v>2639</v>
      </c>
      <c r="B25" s="69"/>
      <c r="C25" s="69"/>
      <c r="D25" s="69"/>
      <c r="E25" s="69"/>
      <c r="F25" s="69"/>
      <c r="G25" s="69"/>
      <c r="H25" s="69"/>
      <c r="I25" s="69"/>
      <c r="J25" s="69"/>
    </row>
    <row r="26" spans="1:10" ht="42" customHeight="1">
      <c r="B26" s="1" t="s">
        <v>2640</v>
      </c>
      <c r="C26" s="69" t="s">
        <v>2641</v>
      </c>
      <c r="D26" s="69"/>
      <c r="E26" s="69"/>
      <c r="F26" s="69"/>
      <c r="G26" s="69"/>
      <c r="H26" s="69"/>
      <c r="I26" t="s">
        <v>2642</v>
      </c>
    </row>
    <row r="27" spans="1:10" ht="42" customHeight="1">
      <c r="B27" s="1" t="s">
        <v>2643</v>
      </c>
      <c r="C27" s="69" t="s">
        <v>2644</v>
      </c>
      <c r="D27" s="69"/>
      <c r="E27" s="69"/>
      <c r="F27" s="69"/>
      <c r="G27" s="69"/>
      <c r="H27" s="69"/>
      <c r="I27" t="s">
        <v>2645</v>
      </c>
    </row>
    <row r="28" spans="1:10" ht="42" customHeight="1">
      <c r="B28" s="1" t="s">
        <v>2646</v>
      </c>
      <c r="C28" s="69" t="s">
        <v>2647</v>
      </c>
      <c r="D28" s="69"/>
      <c r="E28" s="69"/>
      <c r="F28" s="69"/>
      <c r="G28" s="69"/>
      <c r="H28" s="69"/>
      <c r="I28" t="s">
        <v>2648</v>
      </c>
    </row>
  </sheetData>
  <mergeCells count="22">
    <mergeCell ref="C27:H27"/>
    <mergeCell ref="C6:I6"/>
    <mergeCell ref="C14:I14"/>
    <mergeCell ref="C19:H19"/>
    <mergeCell ref="C28:H28"/>
    <mergeCell ref="C18:H18"/>
    <mergeCell ref="C10:I10"/>
    <mergeCell ref="A25:J25"/>
    <mergeCell ref="C9:I9"/>
    <mergeCell ref="C12:I12"/>
    <mergeCell ref="C26:H26"/>
    <mergeCell ref="C11:I11"/>
    <mergeCell ref="C20:H20"/>
    <mergeCell ref="A5:J5"/>
    <mergeCell ref="A1:J2"/>
    <mergeCell ref="A17:J17"/>
    <mergeCell ref="C22:H22"/>
    <mergeCell ref="C8:I8"/>
    <mergeCell ref="C7:I7"/>
    <mergeCell ref="C21:H21"/>
    <mergeCell ref="C13:I13"/>
    <mergeCell ref="A3:J3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16A20"/>
    <pageSetUpPr fitToPage="1"/>
  </sheetPr>
  <dimension ref="A1:I12"/>
  <sheetViews>
    <sheetView showGridLines="0" workbookViewId="0">
      <pane xSplit="1" ySplit="5" topLeftCell="B6" activePane="bottomRight" state="frozen"/>
      <selection pane="bottomRight"/>
      <selection pane="bottomLeft" sqref="A1:J2"/>
      <selection pane="topRight" sqref="A1:J2"/>
    </sheetView>
  </sheetViews>
  <sheetFormatPr defaultRowHeight="15"/>
  <cols>
    <col min="1" max="1" width="25.5703125" customWidth="1"/>
    <col min="2" max="2" width="20" customWidth="1"/>
    <col min="3" max="8" width="18" customWidth="1"/>
    <col min="9" max="9" width="38" customWidth="1"/>
  </cols>
  <sheetData>
    <row r="1" spans="1:9">
      <c r="A1" s="37" t="s">
        <v>2649</v>
      </c>
      <c r="B1" s="69"/>
      <c r="C1" s="69"/>
      <c r="D1" s="69"/>
      <c r="E1" s="69"/>
      <c r="F1" s="69"/>
      <c r="G1" s="69"/>
      <c r="H1" s="69"/>
      <c r="I1" s="69"/>
    </row>
    <row r="2" spans="1:9">
      <c r="A2" s="69"/>
      <c r="B2" s="69"/>
      <c r="C2" s="69"/>
      <c r="D2" s="69"/>
      <c r="E2" s="69"/>
      <c r="F2" s="69"/>
      <c r="G2" s="69"/>
      <c r="H2" s="69"/>
      <c r="I2" s="69"/>
    </row>
    <row r="3" spans="1:9" ht="33.950000000000003" customHeight="1">
      <c r="A3" s="47" t="s">
        <v>2650</v>
      </c>
      <c r="B3" s="69"/>
      <c r="C3" s="69"/>
      <c r="D3" s="69"/>
      <c r="E3" s="69"/>
      <c r="F3" s="69"/>
      <c r="G3" s="69"/>
      <c r="H3" s="69"/>
      <c r="I3" s="69"/>
    </row>
    <row r="5" spans="1:9" ht="45" customHeight="1">
      <c r="A5" s="33" t="s">
        <v>2651</v>
      </c>
      <c r="B5" s="33" t="s">
        <v>2652</v>
      </c>
      <c r="C5" s="33" t="s">
        <v>2653</v>
      </c>
      <c r="D5" s="33" t="s">
        <v>223</v>
      </c>
      <c r="E5" s="33" t="s">
        <v>1605</v>
      </c>
      <c r="F5" s="33" t="s">
        <v>148</v>
      </c>
      <c r="G5" s="33" t="s">
        <v>2654</v>
      </c>
      <c r="H5" s="33" t="s">
        <v>2655</v>
      </c>
      <c r="I5" s="33" t="s">
        <v>2656</v>
      </c>
    </row>
    <row r="6" spans="1:9" ht="105" customHeight="1">
      <c r="A6" s="9" t="s">
        <v>2657</v>
      </c>
      <c r="B6" s="9" t="s">
        <v>2658</v>
      </c>
      <c r="C6" s="9" t="s">
        <v>1606</v>
      </c>
      <c r="D6" s="9" t="s">
        <v>2642</v>
      </c>
      <c r="E6" s="9" t="s">
        <v>2659</v>
      </c>
      <c r="F6" s="9" t="s">
        <v>1564</v>
      </c>
      <c r="G6" s="9" t="s">
        <v>38</v>
      </c>
      <c r="H6" s="9" t="s">
        <v>1988</v>
      </c>
      <c r="I6" s="34"/>
    </row>
    <row r="7" spans="1:9" ht="60" customHeight="1">
      <c r="A7" s="9" t="s">
        <v>2660</v>
      </c>
      <c r="B7" s="9" t="s">
        <v>2661</v>
      </c>
      <c r="C7" s="9" t="s">
        <v>200</v>
      </c>
      <c r="D7" s="9" t="s">
        <v>2642</v>
      </c>
      <c r="E7" s="9" t="s">
        <v>2662</v>
      </c>
      <c r="F7" s="9" t="s">
        <v>552</v>
      </c>
      <c r="G7" s="9" t="s">
        <v>2663</v>
      </c>
      <c r="H7" s="9" t="s">
        <v>1988</v>
      </c>
      <c r="I7" s="34"/>
    </row>
    <row r="8" spans="1:9" ht="90" customHeight="1">
      <c r="A8" s="9" t="s">
        <v>2664</v>
      </c>
      <c r="B8" s="9" t="s">
        <v>2665</v>
      </c>
      <c r="C8" s="9" t="s">
        <v>200</v>
      </c>
      <c r="D8" s="9" t="s">
        <v>2642</v>
      </c>
      <c r="E8" s="9" t="s">
        <v>2666</v>
      </c>
      <c r="F8" s="9" t="s">
        <v>552</v>
      </c>
      <c r="G8" s="9" t="s">
        <v>2667</v>
      </c>
      <c r="H8" s="9" t="s">
        <v>1988</v>
      </c>
      <c r="I8" s="34"/>
    </row>
    <row r="9" spans="1:9" ht="105" customHeight="1">
      <c r="A9" s="9" t="s">
        <v>2668</v>
      </c>
      <c r="B9" s="9" t="s">
        <v>2669</v>
      </c>
      <c r="C9" s="9" t="s">
        <v>2670</v>
      </c>
      <c r="D9" s="9" t="s">
        <v>439</v>
      </c>
      <c r="E9" s="9" t="s">
        <v>1619</v>
      </c>
      <c r="F9" s="9" t="s">
        <v>196</v>
      </c>
      <c r="G9" s="9" t="s">
        <v>2671</v>
      </c>
      <c r="H9" s="9" t="s">
        <v>1988</v>
      </c>
      <c r="I9" s="34"/>
    </row>
    <row r="10" spans="1:9" ht="90" customHeight="1">
      <c r="A10" s="9" t="s">
        <v>2672</v>
      </c>
      <c r="B10" s="9" t="s">
        <v>2673</v>
      </c>
      <c r="C10" s="9" t="s">
        <v>1606</v>
      </c>
      <c r="D10" s="9" t="s">
        <v>2645</v>
      </c>
      <c r="E10" s="9" t="s">
        <v>2674</v>
      </c>
      <c r="F10" s="9" t="s">
        <v>196</v>
      </c>
      <c r="G10" s="9" t="s">
        <v>2675</v>
      </c>
      <c r="H10" s="9" t="s">
        <v>1988</v>
      </c>
      <c r="I10" s="34"/>
    </row>
    <row r="11" spans="1:9" ht="120" customHeight="1">
      <c r="A11" s="9" t="s">
        <v>2676</v>
      </c>
      <c r="B11" s="9" t="s">
        <v>2677</v>
      </c>
      <c r="C11" s="9" t="s">
        <v>1606</v>
      </c>
      <c r="D11" s="9" t="s">
        <v>2678</v>
      </c>
      <c r="E11" s="9" t="s">
        <v>2679</v>
      </c>
      <c r="F11" s="9" t="s">
        <v>552</v>
      </c>
      <c r="G11" s="9" t="s">
        <v>2680</v>
      </c>
      <c r="H11" s="9" t="s">
        <v>1988</v>
      </c>
      <c r="I11" s="34"/>
    </row>
    <row r="12" spans="1:9" ht="75" customHeight="1">
      <c r="A12" s="9" t="s">
        <v>2681</v>
      </c>
      <c r="B12" s="9" t="s">
        <v>2682</v>
      </c>
      <c r="C12" s="9" t="s">
        <v>2636</v>
      </c>
      <c r="D12" s="9" t="s">
        <v>2683</v>
      </c>
      <c r="E12" s="9" t="s">
        <v>2409</v>
      </c>
      <c r="F12" s="9" t="s">
        <v>1564</v>
      </c>
      <c r="G12" s="9" t="s">
        <v>38</v>
      </c>
      <c r="H12" s="9" t="s">
        <v>1988</v>
      </c>
      <c r="I12" s="34"/>
    </row>
  </sheetData>
  <mergeCells count="2">
    <mergeCell ref="A1:I2"/>
    <mergeCell ref="A3:I3"/>
  </mergeCells>
  <pageMargins left="0.75" right="0.75" top="1" bottom="1" header="0.5" footer="0.5"/>
  <pageSetup fitToHeight="0"/>
  <headerFooter>
    <oddFooter>&amp;CCrowdStrike REVEAL Simplified Research Workbench | Human Review Required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BFBF"/>
    <pageSetUpPr fitToPage="1"/>
  </sheetPr>
  <dimension ref="A1:H78"/>
  <sheetViews>
    <sheetView showGridLines="0"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18" customWidth="1"/>
    <col min="3" max="4" width="32" customWidth="1"/>
    <col min="5" max="5" width="42" customWidth="1"/>
    <col min="6" max="6" width="32" customWidth="1"/>
    <col min="7" max="7" width="25" customWidth="1"/>
    <col min="8" max="8" width="65" customWidth="1"/>
  </cols>
  <sheetData>
    <row r="1" spans="1:8">
      <c r="A1" s="37" t="s">
        <v>2684</v>
      </c>
      <c r="B1" s="69"/>
      <c r="C1" s="69"/>
      <c r="D1" s="69"/>
      <c r="E1" s="69"/>
      <c r="F1" s="69"/>
      <c r="G1" s="69"/>
      <c r="H1" s="69"/>
    </row>
    <row r="2" spans="1:8">
      <c r="A2" s="69"/>
      <c r="B2" s="69"/>
      <c r="C2" s="69"/>
      <c r="D2" s="69"/>
      <c r="E2" s="69"/>
      <c r="F2" s="69"/>
      <c r="G2" s="69"/>
      <c r="H2" s="69"/>
    </row>
    <row r="3" spans="1:8" ht="33.950000000000003" customHeight="1">
      <c r="A3" s="47" t="s">
        <v>2685</v>
      </c>
      <c r="B3" s="69"/>
      <c r="C3" s="69"/>
      <c r="D3" s="69"/>
      <c r="E3" s="69"/>
      <c r="F3" s="69"/>
      <c r="G3" s="69"/>
      <c r="H3" s="69"/>
    </row>
    <row r="5" spans="1:8">
      <c r="A5" s="23" t="s">
        <v>2686</v>
      </c>
      <c r="B5" s="23" t="s">
        <v>2687</v>
      </c>
      <c r="C5" s="23" t="s">
        <v>2688</v>
      </c>
      <c r="D5" s="23" t="s">
        <v>2689</v>
      </c>
      <c r="E5" s="23" t="s">
        <v>2690</v>
      </c>
      <c r="F5" s="23" t="s">
        <v>2691</v>
      </c>
      <c r="G5" s="23" t="s">
        <v>2692</v>
      </c>
      <c r="H5" s="23" t="s">
        <v>1738</v>
      </c>
    </row>
    <row r="6" spans="1:8">
      <c r="A6" s="9" t="s">
        <v>877</v>
      </c>
      <c r="B6" s="9" t="s">
        <v>543</v>
      </c>
      <c r="C6" s="9" t="s">
        <v>885</v>
      </c>
      <c r="D6" s="9"/>
      <c r="E6" s="9" t="s">
        <v>1743</v>
      </c>
      <c r="F6" s="9" t="s">
        <v>646</v>
      </c>
      <c r="G6" s="9" t="s">
        <v>1742</v>
      </c>
      <c r="H6" s="9" t="s">
        <v>1744</v>
      </c>
    </row>
    <row r="7" spans="1:8">
      <c r="A7" s="9" t="s">
        <v>887</v>
      </c>
      <c r="B7" s="9" t="s">
        <v>543</v>
      </c>
      <c r="C7" s="9" t="s">
        <v>894</v>
      </c>
      <c r="D7" s="9"/>
      <c r="E7" s="9" t="s">
        <v>1749</v>
      </c>
      <c r="F7" s="9" t="s">
        <v>895</v>
      </c>
      <c r="G7" s="9" t="s">
        <v>1742</v>
      </c>
      <c r="H7" s="9" t="s">
        <v>1750</v>
      </c>
    </row>
    <row r="8" spans="1:8">
      <c r="A8" s="9" t="s">
        <v>897</v>
      </c>
      <c r="B8" s="9" t="s">
        <v>543</v>
      </c>
      <c r="C8" s="9" t="s">
        <v>771</v>
      </c>
      <c r="D8" s="9"/>
      <c r="E8" s="9" t="s">
        <v>877</v>
      </c>
      <c r="F8" s="9" t="s">
        <v>903</v>
      </c>
      <c r="G8" s="9" t="s">
        <v>1742</v>
      </c>
      <c r="H8" s="9" t="s">
        <v>1753</v>
      </c>
    </row>
    <row r="9" spans="1:8">
      <c r="A9" s="9" t="s">
        <v>905</v>
      </c>
      <c r="B9" s="9" t="s">
        <v>543</v>
      </c>
      <c r="C9" s="9" t="s">
        <v>771</v>
      </c>
      <c r="D9" s="9"/>
      <c r="E9" s="9" t="s">
        <v>897</v>
      </c>
      <c r="F9" s="9" t="s">
        <v>903</v>
      </c>
      <c r="G9" s="9" t="s">
        <v>1742</v>
      </c>
      <c r="H9" s="9" t="s">
        <v>1755</v>
      </c>
    </row>
    <row r="10" spans="1:8">
      <c r="A10" s="9" t="s">
        <v>912</v>
      </c>
      <c r="B10" s="9" t="s">
        <v>543</v>
      </c>
      <c r="C10" s="9" t="s">
        <v>894</v>
      </c>
      <c r="D10" s="9"/>
      <c r="E10" s="9" t="s">
        <v>887</v>
      </c>
      <c r="F10" s="9" t="s">
        <v>919</v>
      </c>
      <c r="G10" s="9" t="s">
        <v>1742</v>
      </c>
      <c r="H10" s="9" t="s">
        <v>1757</v>
      </c>
    </row>
    <row r="11" spans="1:8">
      <c r="A11" s="9" t="s">
        <v>921</v>
      </c>
      <c r="B11" s="9" t="s">
        <v>543</v>
      </c>
      <c r="C11" s="9" t="s">
        <v>771</v>
      </c>
      <c r="D11" s="9"/>
      <c r="E11" s="9" t="s">
        <v>897</v>
      </c>
      <c r="F11" s="9" t="s">
        <v>903</v>
      </c>
      <c r="G11" s="9" t="s">
        <v>1742</v>
      </c>
      <c r="H11" s="9" t="s">
        <v>1760</v>
      </c>
    </row>
    <row r="12" spans="1:8">
      <c r="A12" s="9" t="s">
        <v>930</v>
      </c>
      <c r="B12" s="9" t="s">
        <v>715</v>
      </c>
      <c r="C12" s="9" t="s">
        <v>692</v>
      </c>
      <c r="D12" s="9"/>
      <c r="E12" s="9" t="s">
        <v>1762</v>
      </c>
      <c r="F12" s="9" t="s">
        <v>939</v>
      </c>
      <c r="G12" s="9" t="s">
        <v>1742</v>
      </c>
      <c r="H12" s="9" t="s">
        <v>1763</v>
      </c>
    </row>
    <row r="13" spans="1:8">
      <c r="A13" s="9" t="s">
        <v>1071</v>
      </c>
      <c r="B13" s="9" t="s">
        <v>543</v>
      </c>
      <c r="C13" s="9" t="s">
        <v>771</v>
      </c>
      <c r="D13" s="9"/>
      <c r="E13" s="9" t="s">
        <v>897</v>
      </c>
      <c r="F13" s="9" t="s">
        <v>693</v>
      </c>
      <c r="G13" s="9" t="s">
        <v>1742</v>
      </c>
      <c r="H13" s="9" t="s">
        <v>1765</v>
      </c>
    </row>
    <row r="14" spans="1:8">
      <c r="A14" s="9" t="s">
        <v>1079</v>
      </c>
      <c r="B14" s="9" t="s">
        <v>543</v>
      </c>
      <c r="C14" s="9" t="s">
        <v>692</v>
      </c>
      <c r="D14" s="9"/>
      <c r="E14" s="9" t="s">
        <v>1767</v>
      </c>
      <c r="F14" s="9" t="s">
        <v>693</v>
      </c>
      <c r="G14" s="9" t="s">
        <v>1742</v>
      </c>
      <c r="H14" s="9" t="s">
        <v>1768</v>
      </c>
    </row>
    <row r="15" spans="1:8">
      <c r="A15" s="9" t="s">
        <v>1087</v>
      </c>
      <c r="B15" s="9" t="s">
        <v>543</v>
      </c>
      <c r="C15" s="9" t="s">
        <v>771</v>
      </c>
      <c r="D15" s="9"/>
      <c r="E15" s="9" t="s">
        <v>1071</v>
      </c>
      <c r="F15" s="9" t="s">
        <v>693</v>
      </c>
      <c r="G15" s="9" t="s">
        <v>1742</v>
      </c>
      <c r="H15" s="9" t="s">
        <v>1770</v>
      </c>
    </row>
    <row r="16" spans="1:8">
      <c r="A16" s="9" t="s">
        <v>686</v>
      </c>
      <c r="B16" s="9" t="s">
        <v>612</v>
      </c>
      <c r="C16" s="9"/>
      <c r="D16" s="9"/>
      <c r="E16" s="9" t="s">
        <v>1079</v>
      </c>
      <c r="F16" s="9" t="s">
        <v>693</v>
      </c>
      <c r="G16" s="9" t="s">
        <v>1772</v>
      </c>
      <c r="H16" s="9" t="s">
        <v>1773</v>
      </c>
    </row>
    <row r="17" spans="1:8">
      <c r="A17" s="9" t="s">
        <v>1111</v>
      </c>
      <c r="B17" s="9" t="s">
        <v>543</v>
      </c>
      <c r="C17" s="9" t="s">
        <v>771</v>
      </c>
      <c r="D17" s="9"/>
      <c r="E17" s="9" t="s">
        <v>897</v>
      </c>
      <c r="F17" s="9" t="s">
        <v>939</v>
      </c>
      <c r="G17" s="9" t="s">
        <v>1742</v>
      </c>
      <c r="H17" s="9" t="s">
        <v>1775</v>
      </c>
    </row>
    <row r="18" spans="1:8">
      <c r="A18" s="9" t="s">
        <v>1120</v>
      </c>
      <c r="B18" s="9" t="s">
        <v>543</v>
      </c>
      <c r="C18" s="9" t="s">
        <v>633</v>
      </c>
      <c r="D18" s="9"/>
      <c r="E18" s="9" t="s">
        <v>887</v>
      </c>
      <c r="F18" s="9" t="s">
        <v>939</v>
      </c>
      <c r="G18" s="9" t="s">
        <v>1742</v>
      </c>
      <c r="H18" s="9" t="s">
        <v>1777</v>
      </c>
    </row>
    <row r="19" spans="1:8">
      <c r="A19" s="9" t="s">
        <v>1131</v>
      </c>
      <c r="B19" s="9" t="s">
        <v>543</v>
      </c>
      <c r="C19" s="9" t="s">
        <v>1137</v>
      </c>
      <c r="D19" s="9"/>
      <c r="E19" s="9" t="s">
        <v>1120</v>
      </c>
      <c r="F19" s="9" t="s">
        <v>939</v>
      </c>
      <c r="G19" s="9" t="s">
        <v>1742</v>
      </c>
      <c r="H19" s="9" t="s">
        <v>1779</v>
      </c>
    </row>
    <row r="20" spans="1:8">
      <c r="A20" s="9" t="s">
        <v>406</v>
      </c>
      <c r="B20" s="9" t="s">
        <v>543</v>
      </c>
      <c r="C20" s="9" t="s">
        <v>692</v>
      </c>
      <c r="D20" s="9"/>
      <c r="E20" s="9" t="s">
        <v>1767</v>
      </c>
      <c r="F20" s="9" t="s">
        <v>959</v>
      </c>
      <c r="G20" s="9" t="s">
        <v>1742</v>
      </c>
      <c r="H20" s="9" t="s">
        <v>1781</v>
      </c>
    </row>
    <row r="21" spans="1:8">
      <c r="A21" s="9" t="s">
        <v>1149</v>
      </c>
      <c r="B21" s="9" t="s">
        <v>543</v>
      </c>
      <c r="C21" s="9" t="s">
        <v>692</v>
      </c>
      <c r="D21" s="9"/>
      <c r="E21" s="9" t="s">
        <v>406</v>
      </c>
      <c r="F21" s="9" t="s">
        <v>959</v>
      </c>
      <c r="G21" s="9" t="s">
        <v>1742</v>
      </c>
      <c r="H21" s="9" t="s">
        <v>1783</v>
      </c>
    </row>
    <row r="22" spans="1:8">
      <c r="A22" s="9" t="s">
        <v>818</v>
      </c>
      <c r="B22" s="9" t="s">
        <v>543</v>
      </c>
      <c r="C22" s="9" t="s">
        <v>829</v>
      </c>
      <c r="D22" s="9"/>
      <c r="E22" s="9" t="s">
        <v>905</v>
      </c>
      <c r="F22" s="9" t="s">
        <v>830</v>
      </c>
      <c r="G22" s="9" t="s">
        <v>1742</v>
      </c>
      <c r="H22" s="9" t="s">
        <v>1785</v>
      </c>
    </row>
    <row r="23" spans="1:8">
      <c r="A23" s="9" t="s">
        <v>832</v>
      </c>
      <c r="B23" s="9" t="s">
        <v>543</v>
      </c>
      <c r="C23" s="9" t="s">
        <v>829</v>
      </c>
      <c r="D23" s="9"/>
      <c r="E23" s="9" t="s">
        <v>818</v>
      </c>
      <c r="F23" s="9" t="s">
        <v>830</v>
      </c>
      <c r="G23" s="9" t="s">
        <v>1742</v>
      </c>
      <c r="H23" s="9" t="s">
        <v>1787</v>
      </c>
    </row>
    <row r="24" spans="1:8">
      <c r="A24" s="9" t="s">
        <v>841</v>
      </c>
      <c r="B24" s="9" t="s">
        <v>543</v>
      </c>
      <c r="C24" s="9"/>
      <c r="D24" s="9"/>
      <c r="E24" s="9" t="s">
        <v>1767</v>
      </c>
      <c r="F24" s="9"/>
      <c r="G24" s="9" t="s">
        <v>1742</v>
      </c>
      <c r="H24" s="9" t="s">
        <v>1789</v>
      </c>
    </row>
    <row r="25" spans="1:8">
      <c r="A25" s="9" t="s">
        <v>277</v>
      </c>
      <c r="B25" s="9" t="s">
        <v>543</v>
      </c>
      <c r="C25" s="9" t="s">
        <v>829</v>
      </c>
      <c r="D25" s="9"/>
      <c r="E25" s="9" t="s">
        <v>818</v>
      </c>
      <c r="F25" s="9" t="s">
        <v>830</v>
      </c>
      <c r="G25" s="9" t="s">
        <v>1742</v>
      </c>
      <c r="H25" s="9" t="s">
        <v>854</v>
      </c>
    </row>
    <row r="26" spans="1:8">
      <c r="A26" s="9" t="s">
        <v>285</v>
      </c>
      <c r="B26" s="9" t="s">
        <v>543</v>
      </c>
      <c r="C26" s="9"/>
      <c r="D26" s="9"/>
      <c r="E26" s="9"/>
      <c r="F26" s="9"/>
      <c r="G26" s="9" t="s">
        <v>1742</v>
      </c>
      <c r="H26" s="9" t="s">
        <v>1792</v>
      </c>
    </row>
    <row r="27" spans="1:8">
      <c r="A27" s="9" t="s">
        <v>291</v>
      </c>
      <c r="B27" s="9" t="s">
        <v>543</v>
      </c>
      <c r="C27" s="9"/>
      <c r="D27" s="9"/>
      <c r="E27" s="9"/>
      <c r="F27" s="9"/>
      <c r="G27" s="9" t="s">
        <v>1742</v>
      </c>
      <c r="H27" s="9" t="s">
        <v>1794</v>
      </c>
    </row>
    <row r="28" spans="1:8">
      <c r="A28" s="9" t="s">
        <v>1094</v>
      </c>
      <c r="B28" s="9" t="s">
        <v>543</v>
      </c>
      <c r="C28" s="9" t="s">
        <v>1102</v>
      </c>
      <c r="D28" s="9"/>
      <c r="E28" s="9" t="s">
        <v>897</v>
      </c>
      <c r="F28" s="9" t="s">
        <v>737</v>
      </c>
      <c r="G28" s="9" t="s">
        <v>1742</v>
      </c>
      <c r="H28" s="9" t="s">
        <v>1796</v>
      </c>
    </row>
    <row r="29" spans="1:8">
      <c r="A29" s="9" t="s">
        <v>1104</v>
      </c>
      <c r="B29" s="9" t="s">
        <v>612</v>
      </c>
      <c r="C29" s="9"/>
      <c r="D29" s="9"/>
      <c r="E29" s="9" t="s">
        <v>1094</v>
      </c>
      <c r="F29" s="9" t="s">
        <v>737</v>
      </c>
      <c r="G29" s="9" t="s">
        <v>1772</v>
      </c>
      <c r="H29" s="9" t="s">
        <v>1800</v>
      </c>
    </row>
    <row r="30" spans="1:8">
      <c r="A30" s="9" t="s">
        <v>295</v>
      </c>
      <c r="B30" s="9" t="s">
        <v>543</v>
      </c>
      <c r="C30" s="9" t="s">
        <v>704</v>
      </c>
      <c r="D30" s="9"/>
      <c r="E30" s="9"/>
      <c r="F30" s="9" t="s">
        <v>616</v>
      </c>
      <c r="G30" s="9" t="s">
        <v>1742</v>
      </c>
      <c r="H30" s="9" t="s">
        <v>1802</v>
      </c>
    </row>
    <row r="31" spans="1:8">
      <c r="A31" s="9" t="s">
        <v>303</v>
      </c>
      <c r="B31" s="9" t="s">
        <v>543</v>
      </c>
      <c r="C31" s="9" t="s">
        <v>704</v>
      </c>
      <c r="D31" s="9"/>
      <c r="E31" s="9"/>
      <c r="F31" s="9" t="s">
        <v>616</v>
      </c>
      <c r="G31" s="9" t="s">
        <v>1742</v>
      </c>
      <c r="H31" s="9" t="s">
        <v>1804</v>
      </c>
    </row>
    <row r="32" spans="1:8">
      <c r="A32" s="9" t="s">
        <v>714</v>
      </c>
      <c r="B32" s="9" t="s">
        <v>715</v>
      </c>
      <c r="C32" s="9" t="s">
        <v>704</v>
      </c>
      <c r="D32" s="9"/>
      <c r="E32" s="9" t="s">
        <v>295</v>
      </c>
      <c r="F32" s="9" t="s">
        <v>616</v>
      </c>
      <c r="G32" s="9" t="s">
        <v>1742</v>
      </c>
      <c r="H32" s="9" t="s">
        <v>1806</v>
      </c>
    </row>
    <row r="33" spans="1:8">
      <c r="A33" s="9" t="s">
        <v>724</v>
      </c>
      <c r="B33" s="9" t="s">
        <v>543</v>
      </c>
      <c r="C33" s="9" t="s">
        <v>736</v>
      </c>
      <c r="D33" s="9"/>
      <c r="E33" s="9" t="s">
        <v>1767</v>
      </c>
      <c r="F33" s="9" t="s">
        <v>737</v>
      </c>
      <c r="G33" s="9" t="s">
        <v>1742</v>
      </c>
      <c r="H33" s="9" t="s">
        <v>1808</v>
      </c>
    </row>
    <row r="34" spans="1:8">
      <c r="A34" s="9" t="s">
        <v>739</v>
      </c>
      <c r="B34" s="9" t="s">
        <v>543</v>
      </c>
      <c r="C34" s="9" t="s">
        <v>736</v>
      </c>
      <c r="D34" s="9"/>
      <c r="E34" s="9" t="s">
        <v>724</v>
      </c>
      <c r="F34" s="9" t="s">
        <v>616</v>
      </c>
      <c r="G34" s="9" t="s">
        <v>1742</v>
      </c>
      <c r="H34" s="9" t="s">
        <v>1810</v>
      </c>
    </row>
    <row r="35" spans="1:8">
      <c r="A35" s="9" t="s">
        <v>750</v>
      </c>
      <c r="B35" s="9" t="s">
        <v>543</v>
      </c>
      <c r="C35" s="9" t="s">
        <v>736</v>
      </c>
      <c r="D35" s="9"/>
      <c r="E35" s="9" t="s">
        <v>921</v>
      </c>
      <c r="F35" s="9" t="s">
        <v>616</v>
      </c>
      <c r="G35" s="9" t="s">
        <v>1742</v>
      </c>
      <c r="H35" s="9" t="s">
        <v>1812</v>
      </c>
    </row>
    <row r="36" spans="1:8">
      <c r="A36" s="9" t="s">
        <v>762</v>
      </c>
      <c r="B36" s="9" t="s">
        <v>543</v>
      </c>
      <c r="C36" s="9" t="s">
        <v>771</v>
      </c>
      <c r="D36" s="9"/>
      <c r="E36" s="9" t="s">
        <v>897</v>
      </c>
      <c r="F36" s="9" t="s">
        <v>737</v>
      </c>
      <c r="G36" s="9" t="s">
        <v>1742</v>
      </c>
      <c r="H36" s="9" t="s">
        <v>1814</v>
      </c>
    </row>
    <row r="37" spans="1:8">
      <c r="A37" s="9" t="s">
        <v>773</v>
      </c>
      <c r="B37" s="9" t="s">
        <v>543</v>
      </c>
      <c r="C37" s="9" t="s">
        <v>771</v>
      </c>
      <c r="D37" s="9"/>
      <c r="E37" s="9" t="s">
        <v>1071</v>
      </c>
      <c r="F37" s="9" t="s">
        <v>693</v>
      </c>
      <c r="G37" s="9" t="s">
        <v>1742</v>
      </c>
      <c r="H37" s="9" t="s">
        <v>1816</v>
      </c>
    </row>
    <row r="38" spans="1:8">
      <c r="A38" s="9" t="s">
        <v>782</v>
      </c>
      <c r="B38" s="9" t="s">
        <v>543</v>
      </c>
      <c r="C38" s="9" t="s">
        <v>704</v>
      </c>
      <c r="D38" s="9"/>
      <c r="E38" s="9" t="s">
        <v>773</v>
      </c>
      <c r="F38" s="9" t="s">
        <v>616</v>
      </c>
      <c r="G38" s="9" t="s">
        <v>1742</v>
      </c>
      <c r="H38" s="9" t="s">
        <v>1818</v>
      </c>
    </row>
    <row r="39" spans="1:8">
      <c r="A39" s="9" t="s">
        <v>792</v>
      </c>
      <c r="B39" s="9" t="s">
        <v>543</v>
      </c>
      <c r="C39" s="9" t="s">
        <v>704</v>
      </c>
      <c r="D39" s="9"/>
      <c r="E39" s="9"/>
      <c r="F39" s="9" t="s">
        <v>616</v>
      </c>
      <c r="G39" s="9" t="s">
        <v>1742</v>
      </c>
      <c r="H39" s="9" t="s">
        <v>1820</v>
      </c>
    </row>
    <row r="40" spans="1:8">
      <c r="A40" s="9" t="s">
        <v>801</v>
      </c>
      <c r="B40" s="9" t="s">
        <v>543</v>
      </c>
      <c r="C40" s="9" t="s">
        <v>704</v>
      </c>
      <c r="D40" s="9"/>
      <c r="E40" s="9"/>
      <c r="F40" s="9" t="s">
        <v>616</v>
      </c>
      <c r="G40" s="9" t="s">
        <v>1742</v>
      </c>
      <c r="H40" s="9" t="s">
        <v>1822</v>
      </c>
    </row>
    <row r="41" spans="1:8">
      <c r="A41" s="9" t="s">
        <v>333</v>
      </c>
      <c r="B41" s="9" t="s">
        <v>543</v>
      </c>
      <c r="C41" s="9" t="s">
        <v>704</v>
      </c>
      <c r="D41" s="9"/>
      <c r="E41" s="9"/>
      <c r="F41" s="9" t="s">
        <v>737</v>
      </c>
      <c r="G41" s="9" t="s">
        <v>1742</v>
      </c>
      <c r="H41" s="9" t="s">
        <v>1824</v>
      </c>
    </row>
    <row r="42" spans="1:8">
      <c r="A42" s="9" t="s">
        <v>623</v>
      </c>
      <c r="B42" s="9" t="s">
        <v>543</v>
      </c>
      <c r="C42" s="9" t="s">
        <v>633</v>
      </c>
      <c r="D42" s="9"/>
      <c r="E42" s="9" t="s">
        <v>980</v>
      </c>
      <c r="F42" s="9" t="s">
        <v>634</v>
      </c>
      <c r="G42" s="9" t="s">
        <v>1742</v>
      </c>
      <c r="H42" s="9" t="s">
        <v>1826</v>
      </c>
    </row>
    <row r="43" spans="1:8">
      <c r="A43" s="9" t="s">
        <v>980</v>
      </c>
      <c r="B43" s="9" t="s">
        <v>543</v>
      </c>
      <c r="C43" s="9" t="s">
        <v>633</v>
      </c>
      <c r="D43" s="9"/>
      <c r="E43" s="9" t="s">
        <v>623</v>
      </c>
      <c r="F43" s="9" t="s">
        <v>634</v>
      </c>
      <c r="G43" s="9" t="s">
        <v>1742</v>
      </c>
      <c r="H43" s="9" t="s">
        <v>1828</v>
      </c>
    </row>
    <row r="44" spans="1:8">
      <c r="A44" s="9" t="s">
        <v>636</v>
      </c>
      <c r="B44" s="9" t="s">
        <v>543</v>
      </c>
      <c r="C44" s="9" t="s">
        <v>645</v>
      </c>
      <c r="D44" s="9"/>
      <c r="E44" s="9" t="s">
        <v>1830</v>
      </c>
      <c r="F44" s="9" t="s">
        <v>646</v>
      </c>
      <c r="G44" s="9" t="s">
        <v>1742</v>
      </c>
      <c r="H44" s="9" t="s">
        <v>1831</v>
      </c>
    </row>
    <row r="45" spans="1:8">
      <c r="A45" s="9" t="s">
        <v>352</v>
      </c>
      <c r="B45" s="9" t="s">
        <v>543</v>
      </c>
      <c r="C45" s="9" t="s">
        <v>645</v>
      </c>
      <c r="D45" s="9"/>
      <c r="E45" s="9" t="s">
        <v>636</v>
      </c>
      <c r="F45" s="9" t="s">
        <v>903</v>
      </c>
      <c r="G45" s="9" t="s">
        <v>1742</v>
      </c>
      <c r="H45" s="9" t="s">
        <v>1833</v>
      </c>
    </row>
    <row r="46" spans="1:8">
      <c r="A46" s="9" t="s">
        <v>359</v>
      </c>
      <c r="B46" s="9" t="s">
        <v>543</v>
      </c>
      <c r="C46" s="9" t="s">
        <v>645</v>
      </c>
      <c r="D46" s="9"/>
      <c r="E46" s="9" t="s">
        <v>636</v>
      </c>
      <c r="F46" s="9" t="s">
        <v>1005</v>
      </c>
      <c r="G46" s="9" t="s">
        <v>1742</v>
      </c>
      <c r="H46" s="9" t="s">
        <v>1835</v>
      </c>
    </row>
    <row r="47" spans="1:8">
      <c r="A47" s="9" t="s">
        <v>1007</v>
      </c>
      <c r="B47" s="9" t="s">
        <v>543</v>
      </c>
      <c r="C47" s="9" t="s">
        <v>771</v>
      </c>
      <c r="D47" s="9"/>
      <c r="E47" s="9" t="s">
        <v>921</v>
      </c>
      <c r="F47" s="9" t="s">
        <v>737</v>
      </c>
      <c r="G47" s="9" t="s">
        <v>1742</v>
      </c>
      <c r="H47" s="9" t="s">
        <v>1837</v>
      </c>
    </row>
    <row r="48" spans="1:8">
      <c r="A48" s="9" t="s">
        <v>648</v>
      </c>
      <c r="B48" s="9" t="s">
        <v>543</v>
      </c>
      <c r="C48" s="9" t="s">
        <v>655</v>
      </c>
      <c r="D48" s="9"/>
      <c r="E48" s="9"/>
      <c r="F48" s="9" t="s">
        <v>656</v>
      </c>
      <c r="G48" s="9" t="s">
        <v>1742</v>
      </c>
      <c r="H48" s="9" t="s">
        <v>649</v>
      </c>
    </row>
    <row r="49" spans="1:8">
      <c r="A49" s="9" t="s">
        <v>1016</v>
      </c>
      <c r="B49" s="9" t="s">
        <v>715</v>
      </c>
      <c r="C49" s="9" t="s">
        <v>655</v>
      </c>
      <c r="D49" s="9"/>
      <c r="E49" s="9"/>
      <c r="F49" s="9" t="s">
        <v>616</v>
      </c>
      <c r="G49" s="9" t="s">
        <v>1873</v>
      </c>
      <c r="H49" s="9" t="s">
        <v>1840</v>
      </c>
    </row>
    <row r="50" spans="1:8">
      <c r="A50" s="9" t="s">
        <v>658</v>
      </c>
      <c r="B50" s="9" t="s">
        <v>543</v>
      </c>
      <c r="C50" s="9" t="s">
        <v>655</v>
      </c>
      <c r="D50" s="9"/>
      <c r="E50" s="9"/>
      <c r="F50" s="9" t="s">
        <v>664</v>
      </c>
      <c r="G50" s="9" t="s">
        <v>1742</v>
      </c>
      <c r="H50" s="9" t="s">
        <v>659</v>
      </c>
    </row>
    <row r="51" spans="1:8">
      <c r="A51" s="9" t="s">
        <v>371</v>
      </c>
      <c r="B51" s="9" t="s">
        <v>543</v>
      </c>
      <c r="C51" s="9" t="s">
        <v>655</v>
      </c>
      <c r="D51" s="9"/>
      <c r="E51" s="9" t="s">
        <v>658</v>
      </c>
      <c r="F51" s="9" t="s">
        <v>616</v>
      </c>
      <c r="G51" s="9" t="s">
        <v>1742</v>
      </c>
      <c r="H51" s="9" t="s">
        <v>1843</v>
      </c>
    </row>
    <row r="52" spans="1:8">
      <c r="A52" s="9" t="s">
        <v>666</v>
      </c>
      <c r="B52" s="9" t="s">
        <v>543</v>
      </c>
      <c r="C52" s="9" t="s">
        <v>655</v>
      </c>
      <c r="D52" s="9"/>
      <c r="E52" s="9"/>
      <c r="F52" s="9" t="s">
        <v>673</v>
      </c>
      <c r="G52" s="9" t="s">
        <v>1742</v>
      </c>
      <c r="H52" s="9" t="s">
        <v>667</v>
      </c>
    </row>
    <row r="53" spans="1:8">
      <c r="A53" s="9" t="s">
        <v>1032</v>
      </c>
      <c r="B53" s="9" t="s">
        <v>543</v>
      </c>
      <c r="C53" s="9" t="s">
        <v>655</v>
      </c>
      <c r="D53" s="9"/>
      <c r="E53" s="9" t="s">
        <v>666</v>
      </c>
      <c r="F53" s="9" t="s">
        <v>673</v>
      </c>
      <c r="G53" s="9" t="s">
        <v>1742</v>
      </c>
      <c r="H53" s="9" t="s">
        <v>1846</v>
      </c>
    </row>
    <row r="54" spans="1:8">
      <c r="A54" s="9" t="s">
        <v>383</v>
      </c>
      <c r="B54" s="9" t="s">
        <v>543</v>
      </c>
      <c r="C54" s="9" t="s">
        <v>655</v>
      </c>
      <c r="D54" s="9"/>
      <c r="E54" s="9"/>
      <c r="F54" s="9" t="s">
        <v>616</v>
      </c>
      <c r="G54" s="9" t="s">
        <v>1873</v>
      </c>
      <c r="H54" s="9" t="s">
        <v>1848</v>
      </c>
    </row>
    <row r="55" spans="1:8">
      <c r="A55" s="9" t="s">
        <v>675</v>
      </c>
      <c r="B55" s="9" t="s">
        <v>543</v>
      </c>
      <c r="C55" s="9" t="s">
        <v>683</v>
      </c>
      <c r="D55" s="9"/>
      <c r="E55" s="9" t="s">
        <v>1049</v>
      </c>
      <c r="F55" s="9" t="s">
        <v>684</v>
      </c>
      <c r="G55" s="9" t="s">
        <v>1742</v>
      </c>
      <c r="H55" s="9" t="s">
        <v>1850</v>
      </c>
    </row>
    <row r="56" spans="1:8">
      <c r="A56" s="9" t="s">
        <v>1049</v>
      </c>
      <c r="B56" s="9" t="s">
        <v>543</v>
      </c>
      <c r="C56" s="9" t="s">
        <v>683</v>
      </c>
      <c r="D56" s="9"/>
      <c r="E56" s="9" t="s">
        <v>675</v>
      </c>
      <c r="F56" s="9" t="s">
        <v>616</v>
      </c>
      <c r="G56" s="9" t="s">
        <v>1742</v>
      </c>
      <c r="H56" s="9" t="s">
        <v>1852</v>
      </c>
    </row>
    <row r="57" spans="1:8">
      <c r="A57" s="9" t="s">
        <v>1060</v>
      </c>
      <c r="B57" s="9" t="s">
        <v>543</v>
      </c>
      <c r="C57" s="9" t="s">
        <v>683</v>
      </c>
      <c r="D57" s="9"/>
      <c r="E57" s="9" t="s">
        <v>675</v>
      </c>
      <c r="F57" s="9" t="s">
        <v>903</v>
      </c>
      <c r="G57" s="9" t="s">
        <v>1742</v>
      </c>
      <c r="H57" s="9" t="s">
        <v>1854</v>
      </c>
    </row>
    <row r="58" spans="1:8">
      <c r="A58" s="9" t="s">
        <v>941</v>
      </c>
      <c r="B58" s="9" t="s">
        <v>543</v>
      </c>
      <c r="C58" s="9" t="s">
        <v>771</v>
      </c>
      <c r="D58" s="9"/>
      <c r="E58" s="9" t="s">
        <v>1856</v>
      </c>
      <c r="F58" s="9" t="s">
        <v>903</v>
      </c>
      <c r="G58" s="9" t="s">
        <v>1742</v>
      </c>
      <c r="H58" s="9" t="s">
        <v>1857</v>
      </c>
    </row>
    <row r="59" spans="1:8">
      <c r="A59" s="9" t="s">
        <v>393</v>
      </c>
      <c r="B59" s="9" t="s">
        <v>950</v>
      </c>
      <c r="C59" s="9" t="s">
        <v>894</v>
      </c>
      <c r="D59" s="9"/>
      <c r="E59" s="9" t="s">
        <v>1859</v>
      </c>
      <c r="F59" s="9" t="s">
        <v>959</v>
      </c>
      <c r="G59" s="9" t="s">
        <v>1742</v>
      </c>
      <c r="H59" s="9" t="s">
        <v>1860</v>
      </c>
    </row>
    <row r="60" spans="1:8">
      <c r="A60" s="9" t="s">
        <v>961</v>
      </c>
      <c r="B60" s="9" t="s">
        <v>715</v>
      </c>
      <c r="C60" s="9" t="s">
        <v>692</v>
      </c>
      <c r="D60" s="9"/>
      <c r="E60" s="9" t="s">
        <v>1863</v>
      </c>
      <c r="F60" s="9" t="s">
        <v>903</v>
      </c>
      <c r="G60" s="9" t="s">
        <v>1742</v>
      </c>
      <c r="H60" s="9" t="s">
        <v>1864</v>
      </c>
    </row>
    <row r="61" spans="1:8">
      <c r="A61" s="9" t="s">
        <v>611</v>
      </c>
      <c r="B61" s="9" t="s">
        <v>612</v>
      </c>
      <c r="C61" s="9"/>
      <c r="D61" s="9"/>
      <c r="E61" s="9"/>
      <c r="F61" s="9"/>
      <c r="G61" s="9" t="s">
        <v>1772</v>
      </c>
      <c r="H61" s="9" t="s">
        <v>1866</v>
      </c>
    </row>
    <row r="62" spans="1:8">
      <c r="A62" s="9" t="s">
        <v>400</v>
      </c>
      <c r="B62" s="9" t="s">
        <v>543</v>
      </c>
      <c r="C62" s="9" t="s">
        <v>692</v>
      </c>
      <c r="D62" s="9"/>
      <c r="E62" s="9" t="s">
        <v>1868</v>
      </c>
      <c r="F62" s="9" t="s">
        <v>978</v>
      </c>
      <c r="G62" s="9" t="s">
        <v>1742</v>
      </c>
      <c r="H62" s="9" t="s">
        <v>1869</v>
      </c>
    </row>
    <row r="63" spans="1:8">
      <c r="A63" s="9" t="s">
        <v>1871</v>
      </c>
      <c r="B63" s="9" t="s">
        <v>1872</v>
      </c>
      <c r="C63" s="9"/>
      <c r="D63" s="9" t="s">
        <v>2693</v>
      </c>
      <c r="E63" s="9" t="s">
        <v>841</v>
      </c>
      <c r="F63" s="9"/>
      <c r="G63" s="9" t="s">
        <v>1873</v>
      </c>
      <c r="H63" s="9" t="s">
        <v>1874</v>
      </c>
    </row>
    <row r="64" spans="1:8">
      <c r="A64" s="9" t="s">
        <v>1877</v>
      </c>
      <c r="B64" s="9" t="s">
        <v>1872</v>
      </c>
      <c r="C64" s="9"/>
      <c r="D64" s="9" t="s">
        <v>2693</v>
      </c>
      <c r="E64" s="9"/>
      <c r="F64" s="9"/>
      <c r="G64" s="9" t="s">
        <v>1873</v>
      </c>
      <c r="H64" s="9" t="s">
        <v>1878</v>
      </c>
    </row>
    <row r="65" spans="1:8">
      <c r="A65" s="9" t="s">
        <v>1881</v>
      </c>
      <c r="B65" s="9" t="s">
        <v>1872</v>
      </c>
      <c r="C65" s="9"/>
      <c r="D65" s="9" t="s">
        <v>1391</v>
      </c>
      <c r="E65" s="9"/>
      <c r="F65" s="9" t="s">
        <v>737</v>
      </c>
      <c r="G65" s="9" t="s">
        <v>1873</v>
      </c>
      <c r="H65" s="9" t="s">
        <v>1882</v>
      </c>
    </row>
    <row r="66" spans="1:8">
      <c r="A66" s="9" t="s">
        <v>1884</v>
      </c>
      <c r="B66" s="9" t="s">
        <v>1872</v>
      </c>
      <c r="C66" s="9"/>
      <c r="D66" s="9" t="s">
        <v>648</v>
      </c>
      <c r="E66" s="9"/>
      <c r="F66" s="9" t="s">
        <v>616</v>
      </c>
      <c r="G66" s="9" t="s">
        <v>1873</v>
      </c>
      <c r="H66" s="9" t="s">
        <v>1885</v>
      </c>
    </row>
    <row r="67" spans="1:8">
      <c r="A67" s="9" t="s">
        <v>1887</v>
      </c>
      <c r="B67" s="9" t="s">
        <v>1872</v>
      </c>
      <c r="C67" s="9"/>
      <c r="D67" s="9" t="s">
        <v>666</v>
      </c>
      <c r="E67" s="9"/>
      <c r="F67" s="9" t="s">
        <v>616</v>
      </c>
      <c r="G67" s="9" t="s">
        <v>1873</v>
      </c>
      <c r="H67" s="9" t="s">
        <v>1888</v>
      </c>
    </row>
    <row r="68" spans="1:8">
      <c r="A68" s="9" t="s">
        <v>423</v>
      </c>
      <c r="B68" s="9" t="s">
        <v>1872</v>
      </c>
      <c r="C68" s="9"/>
      <c r="D68" s="9" t="s">
        <v>2694</v>
      </c>
      <c r="E68" s="9"/>
      <c r="F68" s="9" t="s">
        <v>616</v>
      </c>
      <c r="G68" s="9" t="s">
        <v>1873</v>
      </c>
      <c r="H68" s="9" t="s">
        <v>1890</v>
      </c>
    </row>
    <row r="69" spans="1:8">
      <c r="A69" s="9" t="s">
        <v>428</v>
      </c>
      <c r="B69" s="9" t="s">
        <v>1872</v>
      </c>
      <c r="C69" s="9"/>
      <c r="D69" s="9" t="s">
        <v>2695</v>
      </c>
      <c r="E69" s="9"/>
      <c r="F69" s="9" t="s">
        <v>616</v>
      </c>
      <c r="G69" s="9" t="s">
        <v>1873</v>
      </c>
      <c r="H69" s="9" t="s">
        <v>1893</v>
      </c>
    </row>
    <row r="70" spans="1:8">
      <c r="A70" s="9" t="s">
        <v>1896</v>
      </c>
      <c r="B70" s="9" t="s">
        <v>1872</v>
      </c>
      <c r="C70" s="9"/>
      <c r="D70" s="9" t="s">
        <v>2696</v>
      </c>
      <c r="E70" s="9"/>
      <c r="F70" s="9" t="s">
        <v>616</v>
      </c>
      <c r="G70" s="9" t="s">
        <v>1873</v>
      </c>
      <c r="H70" s="9" t="s">
        <v>1897</v>
      </c>
    </row>
    <row r="71" spans="1:8">
      <c r="A71" s="9" t="s">
        <v>433</v>
      </c>
      <c r="B71" s="9" t="s">
        <v>1872</v>
      </c>
      <c r="C71" s="9"/>
      <c r="D71" s="9" t="s">
        <v>1402</v>
      </c>
      <c r="E71" s="9"/>
      <c r="F71" s="9" t="s">
        <v>616</v>
      </c>
      <c r="G71" s="9" t="s">
        <v>1873</v>
      </c>
      <c r="H71" s="9" t="s">
        <v>1900</v>
      </c>
    </row>
    <row r="72" spans="1:8">
      <c r="A72" s="9" t="s">
        <v>1902</v>
      </c>
      <c r="B72" s="9" t="s">
        <v>1872</v>
      </c>
      <c r="C72" s="9"/>
      <c r="D72" s="9" t="s">
        <v>1402</v>
      </c>
      <c r="E72" s="9"/>
      <c r="F72" s="9" t="s">
        <v>616</v>
      </c>
      <c r="G72" s="9" t="s">
        <v>1873</v>
      </c>
      <c r="H72" s="9" t="s">
        <v>1903</v>
      </c>
    </row>
    <row r="73" spans="1:8">
      <c r="A73" s="9" t="s">
        <v>456</v>
      </c>
      <c r="B73" s="9" t="s">
        <v>543</v>
      </c>
      <c r="C73" s="9" t="s">
        <v>2697</v>
      </c>
      <c r="D73" s="9"/>
      <c r="E73" s="9" t="s">
        <v>1905</v>
      </c>
      <c r="F73" s="9" t="s">
        <v>1906</v>
      </c>
      <c r="G73" s="9" t="s">
        <v>1742</v>
      </c>
      <c r="H73" s="9" t="s">
        <v>1907</v>
      </c>
    </row>
    <row r="74" spans="1:8">
      <c r="A74" s="9" t="s">
        <v>444</v>
      </c>
      <c r="B74" s="9" t="s">
        <v>543</v>
      </c>
      <c r="C74" s="9" t="s">
        <v>2698</v>
      </c>
      <c r="D74" s="9"/>
      <c r="E74" s="9" t="s">
        <v>456</v>
      </c>
      <c r="F74" s="9" t="s">
        <v>1910</v>
      </c>
      <c r="G74" s="9" t="s">
        <v>1742</v>
      </c>
      <c r="H74" s="9" t="s">
        <v>1911</v>
      </c>
    </row>
    <row r="75" spans="1:8">
      <c r="A75" s="9" t="s">
        <v>439</v>
      </c>
      <c r="B75" s="9" t="s">
        <v>543</v>
      </c>
      <c r="C75" s="9" t="s">
        <v>2697</v>
      </c>
      <c r="D75" s="9"/>
      <c r="E75" s="9" t="s">
        <v>456</v>
      </c>
      <c r="F75" s="9" t="s">
        <v>1914</v>
      </c>
      <c r="G75" s="9" t="s">
        <v>2699</v>
      </c>
      <c r="H75" s="9" t="s">
        <v>1915</v>
      </c>
    </row>
    <row r="76" spans="1:8">
      <c r="A76" s="9" t="s">
        <v>564</v>
      </c>
      <c r="B76" s="9" t="s">
        <v>543</v>
      </c>
      <c r="C76" s="9" t="s">
        <v>1580</v>
      </c>
      <c r="D76" s="9"/>
      <c r="E76" s="9" t="s">
        <v>1918</v>
      </c>
      <c r="F76" s="9" t="s">
        <v>1919</v>
      </c>
      <c r="G76" s="9" t="s">
        <v>2699</v>
      </c>
      <c r="H76" s="9" t="s">
        <v>1920</v>
      </c>
    </row>
    <row r="77" spans="1:8">
      <c r="A77" s="9" t="s">
        <v>448</v>
      </c>
      <c r="B77" s="9" t="s">
        <v>543</v>
      </c>
      <c r="C77" s="9" t="s">
        <v>1591</v>
      </c>
      <c r="D77" s="9"/>
      <c r="E77" s="9"/>
      <c r="F77" s="9" t="s">
        <v>1922</v>
      </c>
      <c r="G77" s="9" t="s">
        <v>1742</v>
      </c>
      <c r="H77" s="9" t="s">
        <v>1923</v>
      </c>
    </row>
    <row r="78" spans="1:8">
      <c r="A78" s="9" t="s">
        <v>464</v>
      </c>
      <c r="B78" s="9" t="s">
        <v>543</v>
      </c>
      <c r="C78" s="9" t="s">
        <v>554</v>
      </c>
      <c r="D78" s="9"/>
      <c r="E78" s="9" t="s">
        <v>569</v>
      </c>
      <c r="F78" s="9"/>
      <c r="G78" s="9" t="s">
        <v>2699</v>
      </c>
      <c r="H78" s="9" t="s">
        <v>1925</v>
      </c>
    </row>
  </sheetData>
  <autoFilter ref="A5:H78" xr:uid="{00000000-0009-0000-0000-00000D000000}"/>
  <mergeCells count="2">
    <mergeCell ref="A1:H2"/>
    <mergeCell ref="A3:H3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7"/>
  <sheetViews>
    <sheetView workbookViewId="0"/>
  </sheetViews>
  <sheetFormatPr defaultRowHeight="15"/>
  <sheetData>
    <row r="1" spans="1:16">
      <c r="A1" t="s">
        <v>172</v>
      </c>
      <c r="B1" t="s">
        <v>173</v>
      </c>
      <c r="C1" t="s">
        <v>130</v>
      </c>
      <c r="D1" t="s">
        <v>148</v>
      </c>
      <c r="E1" t="s">
        <v>150</v>
      </c>
      <c r="F1" t="s">
        <v>1946</v>
      </c>
      <c r="G1" t="s">
        <v>2700</v>
      </c>
      <c r="I1" t="s">
        <v>1735</v>
      </c>
      <c r="J1" t="s">
        <v>2701</v>
      </c>
      <c r="K1" t="s">
        <v>1645</v>
      </c>
      <c r="L1" t="s">
        <v>148</v>
      </c>
      <c r="M1" t="s">
        <v>2702</v>
      </c>
      <c r="N1" t="s">
        <v>2703</v>
      </c>
      <c r="O1" t="s">
        <v>1648</v>
      </c>
      <c r="P1" t="s">
        <v>1554</v>
      </c>
    </row>
    <row r="2" spans="1:16">
      <c r="A2" t="s">
        <v>243</v>
      </c>
      <c r="B2" t="s">
        <v>200</v>
      </c>
      <c r="C2" t="s">
        <v>588</v>
      </c>
      <c r="D2" t="s">
        <v>552</v>
      </c>
      <c r="E2" t="s">
        <v>151</v>
      </c>
      <c r="F2" t="s">
        <v>1559</v>
      </c>
      <c r="G2" t="s">
        <v>2044</v>
      </c>
      <c r="I2" t="s">
        <v>200</v>
      </c>
      <c r="J2" t="s">
        <v>189</v>
      </c>
      <c r="K2" t="s">
        <v>588</v>
      </c>
      <c r="L2" t="s">
        <v>552</v>
      </c>
      <c r="M2" t="s">
        <v>151</v>
      </c>
      <c r="N2" t="s">
        <v>121</v>
      </c>
      <c r="O2" t="s">
        <v>1742</v>
      </c>
      <c r="P2" t="s">
        <v>1926</v>
      </c>
    </row>
    <row r="3" spans="1:16">
      <c r="A3" t="s">
        <v>440</v>
      </c>
      <c r="B3" t="s">
        <v>2704</v>
      </c>
      <c r="C3" t="s">
        <v>593</v>
      </c>
      <c r="D3" t="s">
        <v>1564</v>
      </c>
      <c r="E3" t="s">
        <v>2705</v>
      </c>
      <c r="F3" t="s">
        <v>2706</v>
      </c>
      <c r="G3" t="s">
        <v>552</v>
      </c>
      <c r="I3" t="s">
        <v>2704</v>
      </c>
      <c r="J3" t="s">
        <v>2707</v>
      </c>
      <c r="K3" t="s">
        <v>191</v>
      </c>
      <c r="L3" t="s">
        <v>1564</v>
      </c>
      <c r="M3" t="s">
        <v>2705</v>
      </c>
      <c r="N3" t="s">
        <v>189</v>
      </c>
      <c r="O3" t="s">
        <v>1873</v>
      </c>
      <c r="P3" t="s">
        <v>1559</v>
      </c>
    </row>
    <row r="4" spans="1:16">
      <c r="A4" t="s">
        <v>2708</v>
      </c>
      <c r="B4" t="s">
        <v>1636</v>
      </c>
      <c r="C4" t="s">
        <v>570</v>
      </c>
      <c r="D4" t="s">
        <v>196</v>
      </c>
      <c r="E4" t="s">
        <v>2709</v>
      </c>
      <c r="F4" t="s">
        <v>2710</v>
      </c>
      <c r="G4" t="s">
        <v>196</v>
      </c>
      <c r="I4" t="s">
        <v>1636</v>
      </c>
      <c r="J4" t="s">
        <v>208</v>
      </c>
      <c r="K4" t="s">
        <v>209</v>
      </c>
      <c r="L4" t="s">
        <v>196</v>
      </c>
      <c r="M4" t="s">
        <v>2709</v>
      </c>
      <c r="N4" t="s">
        <v>199</v>
      </c>
      <c r="O4" t="s">
        <v>2699</v>
      </c>
      <c r="P4" t="s">
        <v>2711</v>
      </c>
    </row>
    <row r="5" spans="1:16">
      <c r="A5" t="s">
        <v>2712</v>
      </c>
      <c r="B5" t="s">
        <v>190</v>
      </c>
      <c r="C5" t="s">
        <v>556</v>
      </c>
      <c r="D5" t="s">
        <v>214</v>
      </c>
      <c r="E5" t="s">
        <v>2713</v>
      </c>
      <c r="F5" t="s">
        <v>2714</v>
      </c>
      <c r="G5" t="s">
        <v>214</v>
      </c>
      <c r="I5" t="s">
        <v>190</v>
      </c>
      <c r="J5" t="s">
        <v>199</v>
      </c>
      <c r="K5" t="s">
        <v>2715</v>
      </c>
      <c r="L5" t="s">
        <v>214</v>
      </c>
      <c r="M5" t="s">
        <v>2713</v>
      </c>
      <c r="N5" t="s">
        <v>208</v>
      </c>
      <c r="O5" t="s">
        <v>2716</v>
      </c>
      <c r="P5" t="s">
        <v>2713</v>
      </c>
    </row>
    <row r="6" spans="1:16">
      <c r="A6" t="s">
        <v>2717</v>
      </c>
      <c r="B6" t="s">
        <v>2636</v>
      </c>
      <c r="C6" t="s">
        <v>597</v>
      </c>
      <c r="D6" t="s">
        <v>618</v>
      </c>
      <c r="E6" t="s">
        <v>2718</v>
      </c>
      <c r="F6" t="s">
        <v>2719</v>
      </c>
      <c r="I6" t="s">
        <v>2636</v>
      </c>
      <c r="J6" t="s">
        <v>1143</v>
      </c>
      <c r="K6" t="s">
        <v>1358</v>
      </c>
      <c r="L6" t="s">
        <v>618</v>
      </c>
      <c r="M6" t="s">
        <v>2718</v>
      </c>
      <c r="O6" t="s">
        <v>1772</v>
      </c>
      <c r="P6" t="s">
        <v>2720</v>
      </c>
    </row>
    <row r="7" spans="1:16">
      <c r="A7" t="s">
        <v>2721</v>
      </c>
      <c r="C7" t="s">
        <v>544</v>
      </c>
      <c r="E7" t="s">
        <v>215</v>
      </c>
      <c r="F7" t="s">
        <v>2718</v>
      </c>
      <c r="J7" t="s">
        <v>2722</v>
      </c>
      <c r="K7" t="s">
        <v>2723</v>
      </c>
      <c r="M7" t="s">
        <v>215</v>
      </c>
      <c r="O7" t="s">
        <v>2724</v>
      </c>
      <c r="P7" t="s">
        <v>1745</v>
      </c>
    </row>
    <row r="8" spans="1:16">
      <c r="A8" t="s">
        <v>576</v>
      </c>
      <c r="C8" t="s">
        <v>576</v>
      </c>
      <c r="E8" t="s">
        <v>2720</v>
      </c>
      <c r="J8" t="s">
        <v>2725</v>
      </c>
      <c r="K8" t="s">
        <v>1627</v>
      </c>
      <c r="M8" t="s">
        <v>2720</v>
      </c>
    </row>
    <row r="9" spans="1:16">
      <c r="A9" t="s">
        <v>2726</v>
      </c>
      <c r="C9" t="s">
        <v>33</v>
      </c>
      <c r="J9" t="s">
        <v>2727</v>
      </c>
      <c r="K9" t="s">
        <v>1293</v>
      </c>
    </row>
    <row r="10" spans="1:16">
      <c r="A10" t="s">
        <v>1143</v>
      </c>
      <c r="C10" t="s">
        <v>191</v>
      </c>
      <c r="J10" t="s">
        <v>2728</v>
      </c>
      <c r="K10" t="s">
        <v>1185</v>
      </c>
    </row>
    <row r="11" spans="1:16">
      <c r="A11" t="s">
        <v>2729</v>
      </c>
      <c r="C11" t="s">
        <v>1185</v>
      </c>
      <c r="J11" t="s">
        <v>2730</v>
      </c>
      <c r="K11" t="s">
        <v>31</v>
      </c>
    </row>
    <row r="12" spans="1:16">
      <c r="A12" t="s">
        <v>2731</v>
      </c>
      <c r="C12" t="s">
        <v>1169</v>
      </c>
      <c r="J12" t="s">
        <v>2731</v>
      </c>
      <c r="K12" t="s">
        <v>2732</v>
      </c>
    </row>
    <row r="13" spans="1:16">
      <c r="C13" t="s">
        <v>1293</v>
      </c>
      <c r="K13" t="s">
        <v>201</v>
      </c>
    </row>
    <row r="14" spans="1:16">
      <c r="C14" t="s">
        <v>2715</v>
      </c>
      <c r="K14" t="s">
        <v>2731</v>
      </c>
    </row>
    <row r="15" spans="1:16">
      <c r="C15" t="s">
        <v>1358</v>
      </c>
    </row>
    <row r="16" spans="1:16">
      <c r="C16" t="s">
        <v>2096</v>
      </c>
    </row>
    <row r="17" spans="3:3">
      <c r="C17" t="s">
        <v>2731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BFBF"/>
    <pageSetUpPr fitToPage="1"/>
  </sheetPr>
  <dimension ref="A1:H6"/>
  <sheetViews>
    <sheetView workbookViewId="0"/>
  </sheetViews>
  <sheetFormatPr defaultRowHeight="15"/>
  <sheetData>
    <row r="1" spans="1:8">
      <c r="A1" t="s">
        <v>2733</v>
      </c>
    </row>
    <row r="3" spans="1:8">
      <c r="A3" t="s">
        <v>2734</v>
      </c>
    </row>
    <row r="5" spans="1:8">
      <c r="A5" t="s">
        <v>2735</v>
      </c>
      <c r="B5" t="s">
        <v>127</v>
      </c>
      <c r="C5" t="s">
        <v>2736</v>
      </c>
      <c r="D5" t="s">
        <v>2737</v>
      </c>
      <c r="E5" t="s">
        <v>2738</v>
      </c>
      <c r="F5" t="s">
        <v>2739</v>
      </c>
      <c r="G5" t="s">
        <v>2740</v>
      </c>
      <c r="H5" t="s">
        <v>2741</v>
      </c>
    </row>
    <row r="6" spans="1:8">
      <c r="A6" t="s">
        <v>2742</v>
      </c>
      <c r="B6" t="s">
        <v>128</v>
      </c>
      <c r="C6">
        <v>420</v>
      </c>
      <c r="D6">
        <v>37.142857139999997</v>
      </c>
      <c r="E6">
        <v>0.68664533000000005</v>
      </c>
      <c r="F6">
        <v>10.53571429</v>
      </c>
      <c r="G6">
        <v>0.12924349399999999</v>
      </c>
      <c r="H6">
        <v>0.89219389400000004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BFBF"/>
    <pageSetUpPr fitToPage="1"/>
  </sheetPr>
  <dimension ref="A1:B17"/>
  <sheetViews>
    <sheetView workbookViewId="0"/>
  </sheetViews>
  <sheetFormatPr defaultRowHeight="15"/>
  <sheetData>
    <row r="1" spans="1:2">
      <c r="A1" t="s">
        <v>2743</v>
      </c>
    </row>
    <row r="3" spans="1:2">
      <c r="A3" t="s">
        <v>2734</v>
      </c>
    </row>
    <row r="5" spans="1:2">
      <c r="A5" t="s">
        <v>2744</v>
      </c>
      <c r="B5" t="s">
        <v>31</v>
      </c>
    </row>
    <row r="6" spans="1:2">
      <c r="A6" t="s">
        <v>1472</v>
      </c>
      <c r="B6">
        <v>31.012145749999998</v>
      </c>
    </row>
    <row r="7" spans="1:2">
      <c r="A7" t="s">
        <v>796</v>
      </c>
      <c r="B7">
        <v>31.42235123</v>
      </c>
    </row>
    <row r="8" spans="1:2">
      <c r="A8" t="s">
        <v>845</v>
      </c>
      <c r="B8">
        <v>31.01071975</v>
      </c>
    </row>
    <row r="9" spans="1:2">
      <c r="A9" t="s">
        <v>955</v>
      </c>
      <c r="B9">
        <v>28.993186980000001</v>
      </c>
    </row>
    <row r="10" spans="1:2">
      <c r="A10" t="s">
        <v>730</v>
      </c>
      <c r="B10">
        <v>33.991228069999998</v>
      </c>
    </row>
    <row r="11" spans="1:2">
      <c r="A11" t="s">
        <v>309</v>
      </c>
      <c r="B11">
        <v>35.799023030000001</v>
      </c>
    </row>
    <row r="12" spans="1:2">
      <c r="A12" t="s">
        <v>1507</v>
      </c>
      <c r="B12">
        <v>35.106382979999992</v>
      </c>
    </row>
    <row r="13" spans="1:2">
      <c r="A13" t="s">
        <v>1513</v>
      </c>
      <c r="B13">
        <v>38.489736069999999</v>
      </c>
    </row>
    <row r="14" spans="1:2">
      <c r="A14" t="s">
        <v>1519</v>
      </c>
      <c r="B14">
        <v>35.741444870000002</v>
      </c>
    </row>
    <row r="15" spans="1:2">
      <c r="A15" t="s">
        <v>1525</v>
      </c>
      <c r="B15">
        <v>37.463768119999997</v>
      </c>
    </row>
    <row r="16" spans="1:2">
      <c r="A16" t="s">
        <v>302</v>
      </c>
      <c r="B16">
        <v>38.380566799999997</v>
      </c>
    </row>
    <row r="17" spans="1:2">
      <c r="A17" t="s">
        <v>546</v>
      </c>
      <c r="B17">
        <v>40.899795500000003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BFBF"/>
    <pageSetUpPr fitToPage="1"/>
  </sheetPr>
  <dimension ref="A1:D11"/>
  <sheetViews>
    <sheetView workbookViewId="0"/>
  </sheetViews>
  <sheetFormatPr defaultRowHeight="15"/>
  <sheetData>
    <row r="1" spans="1:4">
      <c r="A1" t="s">
        <v>2745</v>
      </c>
    </row>
    <row r="3" spans="1:4">
      <c r="A3" t="s">
        <v>2734</v>
      </c>
    </row>
    <row r="5" spans="1:4">
      <c r="A5" t="s">
        <v>2744</v>
      </c>
      <c r="B5" t="s">
        <v>546</v>
      </c>
      <c r="C5" t="s">
        <v>302</v>
      </c>
      <c r="D5" t="s">
        <v>1513</v>
      </c>
    </row>
    <row r="6" spans="1:4">
      <c r="A6" t="s">
        <v>2746</v>
      </c>
      <c r="B6">
        <v>54.285714290000001</v>
      </c>
      <c r="C6">
        <v>45</v>
      </c>
      <c r="D6">
        <v>38.46153846</v>
      </c>
    </row>
    <row r="7" spans="1:4">
      <c r="A7" t="s">
        <v>2747</v>
      </c>
      <c r="B7">
        <v>27.272727270000001</v>
      </c>
      <c r="C7">
        <v>32.835820900000002</v>
      </c>
      <c r="D7">
        <v>30.76923077</v>
      </c>
    </row>
    <row r="8" spans="1:4">
      <c r="A8" t="s">
        <v>2748</v>
      </c>
      <c r="B8">
        <v>33.333333329999988</v>
      </c>
      <c r="C8">
        <v>32.857142860000003</v>
      </c>
      <c r="D8">
        <v>32.214765100000001</v>
      </c>
    </row>
    <row r="9" spans="1:4">
      <c r="A9" t="s">
        <v>2749</v>
      </c>
      <c r="B9">
        <v>50</v>
      </c>
      <c r="C9">
        <v>75</v>
      </c>
      <c r="D9">
        <v>37.5</v>
      </c>
    </row>
    <row r="10" spans="1:4">
      <c r="A10" t="s">
        <v>2750</v>
      </c>
      <c r="B10">
        <v>37.142857139999997</v>
      </c>
      <c r="C10">
        <v>35.78947368</v>
      </c>
      <c r="D10">
        <v>24.597701149999999</v>
      </c>
    </row>
    <row r="11" spans="1:4">
      <c r="A11" t="s">
        <v>2751</v>
      </c>
      <c r="B11">
        <v>38.831615120000002</v>
      </c>
      <c r="C11">
        <v>37.891737890000002</v>
      </c>
      <c r="D11">
        <v>24.574209249999999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FBFBF"/>
    <pageSetUpPr fitToPage="1"/>
  </sheetPr>
  <dimension ref="A1:H51"/>
  <sheetViews>
    <sheetView workbookViewId="0"/>
  </sheetViews>
  <sheetFormatPr defaultRowHeight="15"/>
  <sheetData>
    <row r="1" spans="1:8">
      <c r="A1" t="s">
        <v>2752</v>
      </c>
    </row>
    <row r="3" spans="1:8">
      <c r="A3" t="s">
        <v>2734</v>
      </c>
    </row>
    <row r="5" spans="1:8">
      <c r="A5" t="s">
        <v>2744</v>
      </c>
      <c r="B5" t="s">
        <v>2753</v>
      </c>
      <c r="C5" t="s">
        <v>1115</v>
      </c>
      <c r="D5" t="s">
        <v>2754</v>
      </c>
      <c r="E5" t="s">
        <v>2755</v>
      </c>
      <c r="F5" t="s">
        <v>2756</v>
      </c>
      <c r="G5" t="s">
        <v>29</v>
      </c>
      <c r="H5" t="s">
        <v>31</v>
      </c>
    </row>
    <row r="6" spans="1:8">
      <c r="A6" t="s">
        <v>2757</v>
      </c>
      <c r="B6">
        <v>22.222222219999999</v>
      </c>
      <c r="C6">
        <v>48.148148149999997</v>
      </c>
      <c r="D6">
        <v>18.518518520000001</v>
      </c>
      <c r="E6">
        <v>3.703703704</v>
      </c>
      <c r="F6">
        <v>7.4074074069999991</v>
      </c>
      <c r="G6">
        <v>59.259259259999993</v>
      </c>
      <c r="H6">
        <v>51.020408160000002</v>
      </c>
    </row>
    <row r="7" spans="1:8">
      <c r="A7" t="s">
        <v>2758</v>
      </c>
      <c r="B7">
        <v>0</v>
      </c>
      <c r="C7">
        <v>66.666666669999998</v>
      </c>
      <c r="D7">
        <v>22.222222219999999</v>
      </c>
      <c r="E7">
        <v>11.11111111</v>
      </c>
      <c r="F7">
        <v>0</v>
      </c>
      <c r="G7">
        <v>55.555555560000002</v>
      </c>
      <c r="H7">
        <v>29.03225806</v>
      </c>
    </row>
    <row r="8" spans="1:8">
      <c r="A8" t="s">
        <v>2746</v>
      </c>
      <c r="B8">
        <v>17.14285714</v>
      </c>
      <c r="C8">
        <v>48.571428570000002</v>
      </c>
      <c r="D8">
        <v>22.85714286</v>
      </c>
      <c r="E8">
        <v>2.8571428569999999</v>
      </c>
      <c r="F8">
        <v>8.5714285710000002</v>
      </c>
      <c r="G8">
        <v>54.285714290000001</v>
      </c>
      <c r="H8">
        <v>45.714285709999999</v>
      </c>
    </row>
    <row r="9" spans="1:8">
      <c r="A9" t="s">
        <v>2749</v>
      </c>
      <c r="B9">
        <v>0</v>
      </c>
      <c r="C9">
        <v>50</v>
      </c>
      <c r="D9">
        <v>50</v>
      </c>
      <c r="E9">
        <v>0</v>
      </c>
      <c r="F9">
        <v>0</v>
      </c>
      <c r="G9">
        <v>50</v>
      </c>
      <c r="H9">
        <v>22.222222219999999</v>
      </c>
    </row>
    <row r="10" spans="1:8">
      <c r="A10" t="s">
        <v>2759</v>
      </c>
      <c r="B10">
        <v>7.8947368419999986</v>
      </c>
      <c r="C10">
        <v>46.052631580000003</v>
      </c>
      <c r="D10">
        <v>40.78947368</v>
      </c>
      <c r="E10">
        <v>3.9473684210000002</v>
      </c>
      <c r="F10">
        <v>1.315789474</v>
      </c>
      <c r="G10">
        <v>48.684210530000001</v>
      </c>
      <c r="H10">
        <v>56.81818182</v>
      </c>
    </row>
    <row r="11" spans="1:8">
      <c r="A11" t="s">
        <v>2760</v>
      </c>
      <c r="B11">
        <v>5.3571428570000004</v>
      </c>
      <c r="C11">
        <v>46.428571429999998</v>
      </c>
      <c r="D11">
        <v>42.857142860000003</v>
      </c>
      <c r="E11">
        <v>3.5714285710000002</v>
      </c>
      <c r="F11">
        <v>1.7857142859999999</v>
      </c>
      <c r="G11">
        <v>46.428571429999998</v>
      </c>
      <c r="H11">
        <v>60.439560440000001</v>
      </c>
    </row>
    <row r="12" spans="1:8">
      <c r="A12" t="s">
        <v>2761</v>
      </c>
      <c r="B12">
        <v>8.2352941180000006</v>
      </c>
      <c r="C12">
        <v>44.705882350000003</v>
      </c>
      <c r="D12">
        <v>40</v>
      </c>
      <c r="E12">
        <v>2.3529411759999999</v>
      </c>
      <c r="F12">
        <v>4.7058823529999998</v>
      </c>
      <c r="G12">
        <v>45.882352939999997</v>
      </c>
      <c r="H12">
        <v>38.571428570000002</v>
      </c>
    </row>
    <row r="13" spans="1:8">
      <c r="A13" t="s">
        <v>2762</v>
      </c>
      <c r="B13">
        <v>8.5365853660000006</v>
      </c>
      <c r="C13">
        <v>42.68292683</v>
      </c>
      <c r="D13">
        <v>40.243902439999999</v>
      </c>
      <c r="E13">
        <v>7.3170731709999997</v>
      </c>
      <c r="F13">
        <v>1.2195121950000001</v>
      </c>
      <c r="G13">
        <v>42.68292683</v>
      </c>
      <c r="H13">
        <v>61.832061070000002</v>
      </c>
    </row>
    <row r="14" spans="1:8">
      <c r="A14" t="s">
        <v>2763</v>
      </c>
      <c r="B14">
        <v>6.9565217390000003</v>
      </c>
      <c r="C14">
        <v>43.47826087</v>
      </c>
      <c r="D14">
        <v>41.739130430000003</v>
      </c>
      <c r="E14">
        <v>6.0869565220000004</v>
      </c>
      <c r="F14">
        <v>1.7391304350000001</v>
      </c>
      <c r="G14">
        <v>42.608695650000001</v>
      </c>
      <c r="H14">
        <v>58.549222800000003</v>
      </c>
    </row>
    <row r="15" spans="1:8">
      <c r="A15" t="s">
        <v>2764</v>
      </c>
      <c r="B15">
        <v>7.7981651379999999</v>
      </c>
      <c r="C15">
        <v>41.743119270000001</v>
      </c>
      <c r="D15">
        <v>42.201834859999998</v>
      </c>
      <c r="E15">
        <v>3.6697247709999998</v>
      </c>
      <c r="F15">
        <v>4.5871559630000007</v>
      </c>
      <c r="G15">
        <v>41.284403670000003</v>
      </c>
      <c r="H15">
        <v>44.349680169999999</v>
      </c>
    </row>
    <row r="16" spans="1:8">
      <c r="A16" t="s">
        <v>2765</v>
      </c>
      <c r="B16">
        <v>9.8039215689999999</v>
      </c>
      <c r="C16">
        <v>43.137254900000002</v>
      </c>
      <c r="D16">
        <v>35.294117649999997</v>
      </c>
      <c r="E16">
        <v>5.8823529409999997</v>
      </c>
      <c r="F16">
        <v>5.8823529409999997</v>
      </c>
      <c r="G16">
        <v>41.176470590000001</v>
      </c>
      <c r="H16">
        <v>53.932584269999992</v>
      </c>
    </row>
    <row r="17" spans="1:8">
      <c r="A17" t="s">
        <v>2766</v>
      </c>
      <c r="B17">
        <v>7.9207920789999999</v>
      </c>
      <c r="C17">
        <v>41.584158420000001</v>
      </c>
      <c r="D17">
        <v>41.584158420000001</v>
      </c>
      <c r="E17">
        <v>7.9207920789999999</v>
      </c>
      <c r="F17">
        <v>0.99009900989999999</v>
      </c>
      <c r="G17">
        <v>40.59405941</v>
      </c>
      <c r="H17">
        <v>59.171597630000001</v>
      </c>
    </row>
    <row r="18" spans="1:8">
      <c r="A18" t="s">
        <v>2767</v>
      </c>
      <c r="B18">
        <v>8.5365853660000006</v>
      </c>
      <c r="C18">
        <v>42.68292683</v>
      </c>
      <c r="D18">
        <v>37.804878049999999</v>
      </c>
      <c r="E18">
        <v>7.3170731709999997</v>
      </c>
      <c r="F18">
        <v>3.6585365849999998</v>
      </c>
      <c r="G18">
        <v>40.243902439999999</v>
      </c>
      <c r="H18">
        <v>47.878787879999997</v>
      </c>
    </row>
    <row r="19" spans="1:8">
      <c r="A19" t="s">
        <v>2768</v>
      </c>
      <c r="B19">
        <v>9.0909090910000003</v>
      </c>
      <c r="C19">
        <v>38.18181818</v>
      </c>
      <c r="D19">
        <v>45.454545449999998</v>
      </c>
      <c r="E19">
        <v>5.4545454549999999</v>
      </c>
      <c r="F19">
        <v>1.818181818</v>
      </c>
      <c r="G19">
        <v>40</v>
      </c>
      <c r="H19">
        <v>60.674157299999997</v>
      </c>
    </row>
    <row r="20" spans="1:8">
      <c r="A20" t="s">
        <v>2769</v>
      </c>
      <c r="B20">
        <v>6.6666666670000003</v>
      </c>
      <c r="C20">
        <v>42.5</v>
      </c>
      <c r="D20">
        <v>41.666666670000012</v>
      </c>
      <c r="E20">
        <v>7.5</v>
      </c>
      <c r="F20">
        <v>1.6666666670000001</v>
      </c>
      <c r="G20">
        <v>40</v>
      </c>
      <c r="H20">
        <v>57.281553399999993</v>
      </c>
    </row>
    <row r="21" spans="1:8">
      <c r="A21" t="s">
        <v>2770</v>
      </c>
      <c r="B21">
        <v>10.144927539999999</v>
      </c>
      <c r="C21">
        <v>40.579710140000003</v>
      </c>
      <c r="D21">
        <v>38.405797100000001</v>
      </c>
      <c r="E21">
        <v>5.0724637680000004</v>
      </c>
      <c r="F21">
        <v>5.7971014490000004</v>
      </c>
      <c r="G21">
        <v>39.855072460000002</v>
      </c>
      <c r="H21">
        <v>30.092592589999999</v>
      </c>
    </row>
    <row r="22" spans="1:8">
      <c r="A22" t="s">
        <v>2771</v>
      </c>
      <c r="B22">
        <v>5.3763440859999996</v>
      </c>
      <c r="C22">
        <v>41.935483869999999</v>
      </c>
      <c r="D22">
        <v>45.161290320000013</v>
      </c>
      <c r="E22">
        <v>5.3763440859999996</v>
      </c>
      <c r="F22">
        <v>2.150537634</v>
      </c>
      <c r="G22">
        <v>39.784946239999996</v>
      </c>
      <c r="H22">
        <v>56.52173913</v>
      </c>
    </row>
    <row r="23" spans="1:8">
      <c r="A23" t="s">
        <v>2772</v>
      </c>
      <c r="B23">
        <v>4.8780487800000003</v>
      </c>
      <c r="C23">
        <v>41.463414630000003</v>
      </c>
      <c r="D23">
        <v>46.341463410000003</v>
      </c>
      <c r="E23">
        <v>4.8780487800000003</v>
      </c>
      <c r="F23">
        <v>2.4390243900000002</v>
      </c>
      <c r="G23">
        <v>39.024390240000002</v>
      </c>
      <c r="H23">
        <v>66.666666669999998</v>
      </c>
    </row>
    <row r="24" spans="1:8">
      <c r="A24" t="s">
        <v>2751</v>
      </c>
      <c r="B24">
        <v>7.2164948450000006</v>
      </c>
      <c r="C24">
        <v>41.580756010000002</v>
      </c>
      <c r="D24">
        <v>41.237113399999998</v>
      </c>
      <c r="E24">
        <v>5.4982817869999998</v>
      </c>
      <c r="F24">
        <v>4.4673539519999999</v>
      </c>
      <c r="G24">
        <v>38.831615120000002</v>
      </c>
      <c r="H24">
        <v>41.185185189999999</v>
      </c>
    </row>
    <row r="25" spans="1:8">
      <c r="A25" t="s">
        <v>2773</v>
      </c>
      <c r="B25">
        <v>6.3291139240000014</v>
      </c>
      <c r="C25">
        <v>39.240506330000002</v>
      </c>
      <c r="D25">
        <v>46.835443040000001</v>
      </c>
      <c r="E25">
        <v>6.3291139240000014</v>
      </c>
      <c r="F25">
        <v>1.2658227849999999</v>
      </c>
      <c r="G25">
        <v>37.974683540000001</v>
      </c>
      <c r="H25">
        <v>58.646616539999997</v>
      </c>
    </row>
    <row r="26" spans="1:8">
      <c r="A26" t="s">
        <v>2731</v>
      </c>
      <c r="B26">
        <v>6.25</v>
      </c>
      <c r="C26">
        <v>43.75</v>
      </c>
      <c r="D26">
        <v>37.5</v>
      </c>
      <c r="E26">
        <v>6.25</v>
      </c>
      <c r="F26">
        <v>6.25</v>
      </c>
      <c r="G26">
        <v>37.5</v>
      </c>
      <c r="H26">
        <v>23.809523810000002</v>
      </c>
    </row>
    <row r="27" spans="1:8">
      <c r="A27" t="s">
        <v>2774</v>
      </c>
      <c r="B27">
        <v>9.3457943930000003</v>
      </c>
      <c r="C27">
        <v>44.859813080000002</v>
      </c>
      <c r="D27">
        <v>28.971962619999999</v>
      </c>
      <c r="E27">
        <v>10.28037383</v>
      </c>
      <c r="F27">
        <v>6.5420560749999996</v>
      </c>
      <c r="G27">
        <v>37.383177570000001</v>
      </c>
      <c r="H27">
        <v>34.013605439999999</v>
      </c>
    </row>
    <row r="28" spans="1:8">
      <c r="A28" t="s">
        <v>2775</v>
      </c>
      <c r="B28">
        <v>4.651162791</v>
      </c>
      <c r="C28">
        <v>44.186046509999997</v>
      </c>
      <c r="D28">
        <v>39.534883720000003</v>
      </c>
      <c r="E28">
        <v>9.3023255809999998</v>
      </c>
      <c r="F28">
        <v>2.3255813949999999</v>
      </c>
      <c r="G28">
        <v>37.20930233</v>
      </c>
      <c r="H28">
        <v>60</v>
      </c>
    </row>
    <row r="29" spans="1:8">
      <c r="A29" t="s">
        <v>2776</v>
      </c>
      <c r="B29">
        <v>8.0952380949999991</v>
      </c>
      <c r="C29">
        <v>40.23809524</v>
      </c>
      <c r="D29">
        <v>40.47619048</v>
      </c>
      <c r="E29">
        <v>6.4285714290000007</v>
      </c>
      <c r="F29">
        <v>4.7619047620000003</v>
      </c>
      <c r="G29">
        <v>37.142857139999997</v>
      </c>
      <c r="H29">
        <v>40.899795500000003</v>
      </c>
    </row>
    <row r="30" spans="1:8">
      <c r="A30" t="s">
        <v>2777</v>
      </c>
      <c r="B30">
        <v>2.8571428569999999</v>
      </c>
      <c r="C30">
        <v>42.857142860000003</v>
      </c>
      <c r="D30">
        <v>45.714285709999999</v>
      </c>
      <c r="E30">
        <v>8.5714285710000002</v>
      </c>
      <c r="F30">
        <v>0</v>
      </c>
      <c r="G30">
        <v>37.142857139999997</v>
      </c>
      <c r="H30">
        <v>47.297297299999997</v>
      </c>
    </row>
    <row r="31" spans="1:8">
      <c r="A31" t="s">
        <v>2750</v>
      </c>
      <c r="B31">
        <v>7.6190476189999998</v>
      </c>
      <c r="C31">
        <v>40.317460320000002</v>
      </c>
      <c r="D31">
        <v>41.269841270000001</v>
      </c>
      <c r="E31">
        <v>6.3492063490000001</v>
      </c>
      <c r="F31">
        <v>4.4444444440000002</v>
      </c>
      <c r="G31">
        <v>37.142857139999997</v>
      </c>
      <c r="H31">
        <v>41.574585640000002</v>
      </c>
    </row>
    <row r="32" spans="1:8">
      <c r="A32" t="s">
        <v>2778</v>
      </c>
      <c r="B32">
        <v>7.9772079770000008</v>
      </c>
      <c r="C32">
        <v>39.316239320000001</v>
      </c>
      <c r="D32">
        <v>42.450142450000001</v>
      </c>
      <c r="E32">
        <v>6.2678062679999993</v>
      </c>
      <c r="F32">
        <v>3.9886039890000009</v>
      </c>
      <c r="G32">
        <v>37.037037040000001</v>
      </c>
      <c r="H32">
        <v>40.848484849999998</v>
      </c>
    </row>
    <row r="33" spans="1:8">
      <c r="A33" t="s">
        <v>2779</v>
      </c>
      <c r="B33">
        <v>6.2801932369999998</v>
      </c>
      <c r="C33">
        <v>40.579710140000003</v>
      </c>
      <c r="D33">
        <v>42.995169079999997</v>
      </c>
      <c r="E33">
        <v>6.2801932369999998</v>
      </c>
      <c r="F33">
        <v>3.8647342999999998</v>
      </c>
      <c r="G33">
        <v>36.714975850000002</v>
      </c>
      <c r="H33">
        <v>50.636132320000002</v>
      </c>
    </row>
    <row r="34" spans="1:8">
      <c r="A34" t="s">
        <v>2780</v>
      </c>
      <c r="B34">
        <v>0</v>
      </c>
      <c r="C34">
        <v>45.454545449999998</v>
      </c>
      <c r="D34">
        <v>45.454545449999998</v>
      </c>
      <c r="E34">
        <v>9.0909090910000003</v>
      </c>
      <c r="F34">
        <v>0</v>
      </c>
      <c r="G34">
        <v>36.363636360000001</v>
      </c>
      <c r="H34">
        <v>47.826086959999998</v>
      </c>
    </row>
    <row r="35" spans="1:8">
      <c r="A35" t="s">
        <v>2781</v>
      </c>
      <c r="B35">
        <v>9.0909090910000003</v>
      </c>
      <c r="C35">
        <v>37.662337659999999</v>
      </c>
      <c r="D35">
        <v>42.857142860000003</v>
      </c>
      <c r="E35">
        <v>3.8961038960000001</v>
      </c>
      <c r="F35">
        <v>6.4935064939999991</v>
      </c>
      <c r="G35">
        <v>36.363636360000001</v>
      </c>
      <c r="H35">
        <v>33.333333329999988</v>
      </c>
    </row>
    <row r="36" spans="1:8">
      <c r="A36" t="s">
        <v>2782</v>
      </c>
      <c r="B36">
        <v>10.256410259999999</v>
      </c>
      <c r="C36">
        <v>41.025641030000003</v>
      </c>
      <c r="D36">
        <v>33.333333329999988</v>
      </c>
      <c r="E36">
        <v>10.256410259999999</v>
      </c>
      <c r="F36">
        <v>5.1282051279999994</v>
      </c>
      <c r="G36">
        <v>35.897435899999998</v>
      </c>
      <c r="H36">
        <v>44.047619050000002</v>
      </c>
    </row>
    <row r="37" spans="1:8">
      <c r="A37" t="s">
        <v>2783</v>
      </c>
      <c r="B37">
        <v>7.0921985820000009</v>
      </c>
      <c r="C37">
        <v>40.070921990000002</v>
      </c>
      <c r="D37">
        <v>41.489361700000003</v>
      </c>
      <c r="E37">
        <v>7.0921985820000009</v>
      </c>
      <c r="F37">
        <v>4.255319149</v>
      </c>
      <c r="G37">
        <v>35.815602839999997</v>
      </c>
      <c r="H37">
        <v>49.450549449999997</v>
      </c>
    </row>
    <row r="38" spans="1:8">
      <c r="A38" t="s">
        <v>2748</v>
      </c>
      <c r="B38">
        <v>10.07751938</v>
      </c>
      <c r="C38">
        <v>37.20930233</v>
      </c>
      <c r="D38">
        <v>38.75968992</v>
      </c>
      <c r="E38">
        <v>8.5271317829999997</v>
      </c>
      <c r="F38">
        <v>5.4263565890000001</v>
      </c>
      <c r="G38">
        <v>33.333333329999988</v>
      </c>
      <c r="H38">
        <v>40.264026400000013</v>
      </c>
    </row>
    <row r="39" spans="1:8">
      <c r="A39" t="s">
        <v>2784</v>
      </c>
      <c r="B39">
        <v>4.3478260869999996</v>
      </c>
      <c r="C39">
        <v>39.130434780000002</v>
      </c>
      <c r="D39">
        <v>43.47826087</v>
      </c>
      <c r="E39">
        <v>8.6956521739999992</v>
      </c>
      <c r="F39">
        <v>4.3478260869999996</v>
      </c>
      <c r="G39">
        <v>30.434782609999999</v>
      </c>
      <c r="H39">
        <v>46.808510640000002</v>
      </c>
    </row>
    <row r="40" spans="1:8">
      <c r="A40" t="s">
        <v>2785</v>
      </c>
      <c r="B40">
        <v>13.20754717</v>
      </c>
      <c r="C40">
        <v>33.962264150000003</v>
      </c>
      <c r="D40">
        <v>35.849056599999997</v>
      </c>
      <c r="E40">
        <v>9.4339622639999998</v>
      </c>
      <c r="F40">
        <v>7.5471698109999998</v>
      </c>
      <c r="G40">
        <v>30.18867925</v>
      </c>
      <c r="H40">
        <v>22.072072070000001</v>
      </c>
    </row>
    <row r="41" spans="1:8">
      <c r="A41" t="s">
        <v>2786</v>
      </c>
      <c r="B41">
        <v>15</v>
      </c>
      <c r="C41">
        <v>27.5</v>
      </c>
      <c r="D41">
        <v>45</v>
      </c>
      <c r="E41">
        <v>5</v>
      </c>
      <c r="F41">
        <v>7.5</v>
      </c>
      <c r="G41">
        <v>30</v>
      </c>
      <c r="H41">
        <v>35.922330100000003</v>
      </c>
    </row>
    <row r="42" spans="1:8">
      <c r="A42" t="s">
        <v>2787</v>
      </c>
      <c r="B42">
        <v>8.7912087910000007</v>
      </c>
      <c r="C42">
        <v>36.263736260000002</v>
      </c>
      <c r="D42">
        <v>37.362637360000001</v>
      </c>
      <c r="E42">
        <v>12.08791209</v>
      </c>
      <c r="F42">
        <v>5.4945054950000003</v>
      </c>
      <c r="G42">
        <v>27.472527469999999</v>
      </c>
      <c r="H42">
        <v>48.314606740000002</v>
      </c>
    </row>
    <row r="43" spans="1:8">
      <c r="A43" t="s">
        <v>2788</v>
      </c>
      <c r="B43">
        <v>7.3684210529999996</v>
      </c>
      <c r="C43">
        <v>31.578947370000002</v>
      </c>
      <c r="D43">
        <v>49.473684210000002</v>
      </c>
      <c r="E43">
        <v>8.4210526320000003</v>
      </c>
      <c r="F43">
        <v>3.1578947369999999</v>
      </c>
      <c r="G43">
        <v>27.368421049999998</v>
      </c>
      <c r="H43">
        <v>42.79069767</v>
      </c>
    </row>
    <row r="44" spans="1:8">
      <c r="A44" t="s">
        <v>2747</v>
      </c>
      <c r="B44">
        <v>6.0606060609999997</v>
      </c>
      <c r="C44">
        <v>34.848484849999998</v>
      </c>
      <c r="D44">
        <v>45.454545449999998</v>
      </c>
      <c r="E44">
        <v>9.0909090910000003</v>
      </c>
      <c r="F44">
        <v>4.5454545450000001</v>
      </c>
      <c r="G44">
        <v>27.272727270000001</v>
      </c>
      <c r="H44">
        <v>37.95180723</v>
      </c>
    </row>
    <row r="45" spans="1:8">
      <c r="A45" t="s">
        <v>2789</v>
      </c>
      <c r="B45">
        <v>6.4516129029999991</v>
      </c>
      <c r="C45">
        <v>38.709677419999998</v>
      </c>
      <c r="D45">
        <v>35.483870969999998</v>
      </c>
      <c r="E45">
        <v>9.6774193549999996</v>
      </c>
      <c r="F45">
        <v>9.6774193549999996</v>
      </c>
      <c r="G45">
        <v>25.80645161</v>
      </c>
      <c r="H45">
        <v>36.363636360000001</v>
      </c>
    </row>
    <row r="46" spans="1:8">
      <c r="A46" t="s">
        <v>2790</v>
      </c>
      <c r="B46">
        <v>3.703703704</v>
      </c>
      <c r="C46">
        <v>33.333333329999988</v>
      </c>
      <c r="D46">
        <v>48.148148149999997</v>
      </c>
      <c r="E46">
        <v>11.11111111</v>
      </c>
      <c r="F46">
        <v>3.703703704</v>
      </c>
      <c r="G46">
        <v>22.222222219999999</v>
      </c>
      <c r="H46">
        <v>47.272727269999997</v>
      </c>
    </row>
    <row r="47" spans="1:8">
      <c r="A47" t="s">
        <v>2791</v>
      </c>
      <c r="B47">
        <v>0</v>
      </c>
      <c r="C47">
        <v>30</v>
      </c>
      <c r="D47">
        <v>60</v>
      </c>
      <c r="E47">
        <v>0</v>
      </c>
      <c r="F47">
        <v>10</v>
      </c>
      <c r="G47">
        <v>20</v>
      </c>
      <c r="H47">
        <v>42.857142860000003</v>
      </c>
    </row>
    <row r="48" spans="1:8">
      <c r="A48" t="s">
        <v>2792</v>
      </c>
      <c r="B48">
        <v>2.1276595739999999</v>
      </c>
      <c r="C48">
        <v>34.04255319</v>
      </c>
      <c r="D48">
        <v>46.808510640000002</v>
      </c>
      <c r="E48">
        <v>12.76595745</v>
      </c>
      <c r="F48">
        <v>4.255319149</v>
      </c>
      <c r="G48">
        <v>19.148936169999999</v>
      </c>
      <c r="H48">
        <v>46.391752580000002</v>
      </c>
    </row>
    <row r="49" spans="1:8">
      <c r="A49" t="s">
        <v>2793</v>
      </c>
      <c r="B49">
        <v>5.5555555559999998</v>
      </c>
      <c r="C49">
        <v>33.333333329999988</v>
      </c>
      <c r="D49">
        <v>38.888888889999997</v>
      </c>
      <c r="E49">
        <v>11.11111111</v>
      </c>
      <c r="F49">
        <v>11.11111111</v>
      </c>
      <c r="G49">
        <v>16.666666670000001</v>
      </c>
      <c r="H49">
        <v>35.95505618</v>
      </c>
    </row>
    <row r="50" spans="1:8">
      <c r="A50" t="s">
        <v>2794</v>
      </c>
      <c r="B50">
        <v>0</v>
      </c>
      <c r="C50">
        <v>0</v>
      </c>
      <c r="D50">
        <v>100</v>
      </c>
      <c r="E50">
        <v>0</v>
      </c>
      <c r="F50">
        <v>0</v>
      </c>
      <c r="G50">
        <v>0</v>
      </c>
      <c r="H50">
        <v>14.28571429</v>
      </c>
    </row>
    <row r="51" spans="1:8">
      <c r="A51" t="s">
        <v>2795</v>
      </c>
      <c r="B51">
        <v>0</v>
      </c>
      <c r="C51">
        <v>16.666666670000001</v>
      </c>
      <c r="D51">
        <v>50</v>
      </c>
      <c r="E51">
        <v>33.333333329999988</v>
      </c>
      <c r="F51">
        <v>0</v>
      </c>
      <c r="G51">
        <v>-16.666666670000001</v>
      </c>
      <c r="H51">
        <v>42.857142860000003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BFBF"/>
    <pageSetUpPr fitToPage="1"/>
  </sheetPr>
  <dimension ref="A1:D6"/>
  <sheetViews>
    <sheetView workbookViewId="0"/>
  </sheetViews>
  <sheetFormatPr defaultRowHeight="15"/>
  <sheetData>
    <row r="1" spans="1:4">
      <c r="A1" t="s">
        <v>2796</v>
      </c>
    </row>
    <row r="3" spans="1:4">
      <c r="A3" t="s">
        <v>2734</v>
      </c>
    </row>
    <row r="5" spans="1:4">
      <c r="A5" t="s">
        <v>2744</v>
      </c>
      <c r="B5" t="s">
        <v>546</v>
      </c>
      <c r="C5" t="s">
        <v>302</v>
      </c>
      <c r="D5" t="s">
        <v>1513</v>
      </c>
    </row>
    <row r="6" spans="1:4">
      <c r="A6" t="s">
        <v>2797</v>
      </c>
      <c r="B6">
        <v>37.142857139999997</v>
      </c>
      <c r="C6">
        <v>36.456211809999999</v>
      </c>
      <c r="D6">
        <v>26.60714286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BFBF"/>
    <pageSetUpPr fitToPage="1"/>
  </sheetPr>
  <dimension ref="A1:D89"/>
  <sheetViews>
    <sheetView workbookViewId="0"/>
  </sheetViews>
  <sheetFormatPr defaultRowHeight="15"/>
  <sheetData>
    <row r="1" spans="1:4">
      <c r="A1" t="s">
        <v>2798</v>
      </c>
    </row>
    <row r="3" spans="1:4">
      <c r="A3" t="s">
        <v>2734</v>
      </c>
    </row>
    <row r="5" spans="1:4">
      <c r="A5" t="s">
        <v>2744</v>
      </c>
      <c r="B5" t="s">
        <v>546</v>
      </c>
      <c r="C5" t="s">
        <v>302</v>
      </c>
      <c r="D5" t="s">
        <v>1513</v>
      </c>
    </row>
    <row r="6" spans="1:4">
      <c r="A6" t="s">
        <v>2799</v>
      </c>
      <c r="B6">
        <v>17.73399015</v>
      </c>
      <c r="C6">
        <v>16.666666670000001</v>
      </c>
    </row>
    <row r="7" spans="1:4">
      <c r="A7" t="s">
        <v>2800</v>
      </c>
      <c r="B7">
        <v>0</v>
      </c>
      <c r="C7">
        <v>3.1746031750000001</v>
      </c>
      <c r="D7">
        <v>-11.26760563</v>
      </c>
    </row>
    <row r="8" spans="1:4">
      <c r="A8" t="s">
        <v>2801</v>
      </c>
      <c r="B8">
        <v>5.46875</v>
      </c>
      <c r="C8">
        <v>5.9602649010000004</v>
      </c>
    </row>
    <row r="9" spans="1:4">
      <c r="A9" t="s">
        <v>2802</v>
      </c>
      <c r="B9">
        <v>-0.80645161290000011</v>
      </c>
      <c r="C9">
        <v>9.77443609</v>
      </c>
      <c r="D9">
        <v>0.59523809520000004</v>
      </c>
    </row>
    <row r="10" spans="1:4">
      <c r="A10" t="s">
        <v>2803</v>
      </c>
      <c r="B10">
        <v>5</v>
      </c>
      <c r="C10">
        <v>9.5744680849999995</v>
      </c>
    </row>
    <row r="11" spans="1:4">
      <c r="A11" t="s">
        <v>2804</v>
      </c>
      <c r="B11">
        <v>4.6875</v>
      </c>
      <c r="C11">
        <v>8.6956521739999992</v>
      </c>
      <c r="D11">
        <v>12.820512819999999</v>
      </c>
    </row>
    <row r="12" spans="1:4">
      <c r="A12" t="s">
        <v>2805</v>
      </c>
      <c r="B12">
        <v>-0.97087378639999999</v>
      </c>
      <c r="C12">
        <v>11.11111111</v>
      </c>
      <c r="D12">
        <v>-1.538461538</v>
      </c>
    </row>
    <row r="13" spans="1:4">
      <c r="A13" t="s">
        <v>2806</v>
      </c>
      <c r="B13">
        <v>23.369565219999998</v>
      </c>
      <c r="C13">
        <v>27.522935780000001</v>
      </c>
      <c r="D13">
        <v>33.467741940000003</v>
      </c>
    </row>
    <row r="14" spans="1:4">
      <c r="A14" t="s">
        <v>2807</v>
      </c>
      <c r="B14">
        <v>37.777777780000001</v>
      </c>
      <c r="C14">
        <v>29.787234040000001</v>
      </c>
      <c r="D14">
        <v>4.255319149</v>
      </c>
    </row>
    <row r="15" spans="1:4">
      <c r="A15" t="s">
        <v>2808</v>
      </c>
      <c r="B15">
        <v>-5.263157895</v>
      </c>
      <c r="C15">
        <v>7.692307692</v>
      </c>
      <c r="D15">
        <v>-5.8823529409999997</v>
      </c>
    </row>
    <row r="16" spans="1:4">
      <c r="A16" t="s">
        <v>2809</v>
      </c>
      <c r="B16">
        <v>18.518518520000001</v>
      </c>
      <c r="C16">
        <v>23.23651452</v>
      </c>
      <c r="D16">
        <v>22.18181818</v>
      </c>
    </row>
    <row r="17" spans="1:4">
      <c r="A17" t="s">
        <v>2810</v>
      </c>
      <c r="B17">
        <v>25.174825169999998</v>
      </c>
      <c r="C17">
        <v>30.434782609999999</v>
      </c>
      <c r="D17">
        <v>22.58064516</v>
      </c>
    </row>
    <row r="18" spans="1:4">
      <c r="A18" t="s">
        <v>2811</v>
      </c>
      <c r="B18">
        <v>30.878859859999999</v>
      </c>
      <c r="C18">
        <v>29.583333329999999</v>
      </c>
      <c r="D18">
        <v>29.005059020000001</v>
      </c>
    </row>
    <row r="19" spans="1:4">
      <c r="A19" t="s">
        <v>2812</v>
      </c>
      <c r="B19">
        <v>8.823529412000001</v>
      </c>
      <c r="C19">
        <v>22.85714286</v>
      </c>
      <c r="D19">
        <v>11.827956990000001</v>
      </c>
    </row>
    <row r="20" spans="1:4">
      <c r="A20" t="s">
        <v>2813</v>
      </c>
      <c r="B20">
        <v>9.4736842110000001</v>
      </c>
      <c r="C20">
        <v>21.698113209999999</v>
      </c>
      <c r="D20">
        <v>17.218543050000001</v>
      </c>
    </row>
    <row r="21" spans="1:4">
      <c r="A21" t="s">
        <v>2814</v>
      </c>
      <c r="B21">
        <v>10.9375</v>
      </c>
      <c r="C21">
        <v>12.98701299</v>
      </c>
      <c r="D21">
        <v>16.58291457</v>
      </c>
    </row>
    <row r="22" spans="1:4">
      <c r="A22" t="s">
        <v>2815</v>
      </c>
      <c r="B22">
        <v>1.8348623850000001</v>
      </c>
      <c r="C22">
        <v>8.3969465650000004</v>
      </c>
      <c r="D22">
        <v>14.94252874</v>
      </c>
    </row>
    <row r="23" spans="1:4">
      <c r="A23" t="s">
        <v>2816</v>
      </c>
      <c r="B23">
        <v>0</v>
      </c>
      <c r="C23">
        <v>-5.8823529409999997</v>
      </c>
      <c r="D23">
        <v>-18.666666670000001</v>
      </c>
    </row>
    <row r="24" spans="1:4">
      <c r="A24" t="s">
        <v>2817</v>
      </c>
      <c r="B24">
        <v>29.670329670000001</v>
      </c>
      <c r="C24">
        <v>33.628318579999998</v>
      </c>
      <c r="D24">
        <v>29.133858270000001</v>
      </c>
    </row>
    <row r="25" spans="1:4">
      <c r="A25" t="s">
        <v>2818</v>
      </c>
      <c r="B25">
        <v>10</v>
      </c>
      <c r="C25">
        <v>15.29850746</v>
      </c>
      <c r="D25">
        <v>12.688821750000001</v>
      </c>
    </row>
    <row r="26" spans="1:4">
      <c r="A26" t="s">
        <v>2819</v>
      </c>
      <c r="B26">
        <v>-16.666666670000001</v>
      </c>
      <c r="C26">
        <v>0</v>
      </c>
      <c r="D26">
        <v>-14.28571429</v>
      </c>
    </row>
    <row r="27" spans="1:4">
      <c r="A27" t="s">
        <v>2820</v>
      </c>
      <c r="B27">
        <v>1.7857142859999999</v>
      </c>
      <c r="C27">
        <v>11.888111889999999</v>
      </c>
      <c r="D27">
        <v>1.3333333329999999</v>
      </c>
    </row>
    <row r="28" spans="1:4">
      <c r="A28" t="s">
        <v>2821</v>
      </c>
      <c r="B28">
        <v>4.2735042740000004</v>
      </c>
      <c r="C28">
        <v>8.1180811810000009</v>
      </c>
      <c r="D28">
        <v>13.49693252</v>
      </c>
    </row>
    <row r="29" spans="1:4">
      <c r="A29" t="s">
        <v>2822</v>
      </c>
      <c r="B29">
        <v>-5.223880597</v>
      </c>
      <c r="C29">
        <v>-0.66445182719999996</v>
      </c>
      <c r="D29">
        <v>-1.295336788</v>
      </c>
    </row>
    <row r="30" spans="1:4">
      <c r="A30" t="s">
        <v>2823</v>
      </c>
      <c r="B30">
        <v>9.5238095240000007</v>
      </c>
      <c r="C30">
        <v>12.90322581</v>
      </c>
      <c r="D30">
        <v>2.3255813949999999</v>
      </c>
    </row>
    <row r="31" spans="1:4">
      <c r="A31" t="s">
        <v>2824</v>
      </c>
      <c r="B31">
        <v>5.3571428570000004</v>
      </c>
      <c r="C31">
        <v>-1.587301587</v>
      </c>
      <c r="D31">
        <v>-3.0612244899999999</v>
      </c>
    </row>
    <row r="32" spans="1:4">
      <c r="A32" t="s">
        <v>2825</v>
      </c>
      <c r="B32">
        <v>25.641025639999999</v>
      </c>
      <c r="C32">
        <v>26.630434780000002</v>
      </c>
      <c r="D32">
        <v>27.85388128</v>
      </c>
    </row>
    <row r="33" spans="1:4">
      <c r="A33" t="s">
        <v>2826</v>
      </c>
      <c r="B33">
        <v>4.7619047620000003</v>
      </c>
      <c r="C33">
        <v>14.28571429</v>
      </c>
      <c r="D33">
        <v>6.8493150680000001</v>
      </c>
    </row>
    <row r="34" spans="1:4">
      <c r="A34" t="s">
        <v>2827</v>
      </c>
      <c r="B34">
        <v>26.92307692</v>
      </c>
      <c r="C34">
        <v>28.921568629999999</v>
      </c>
      <c r="D34">
        <v>22.39382239</v>
      </c>
    </row>
    <row r="35" spans="1:4">
      <c r="A35" t="s">
        <v>2828</v>
      </c>
      <c r="B35">
        <v>-22.033898310000001</v>
      </c>
      <c r="C35">
        <v>-21.925133689999999</v>
      </c>
      <c r="D35">
        <v>-25</v>
      </c>
    </row>
    <row r="36" spans="1:4">
      <c r="A36" t="s">
        <v>2829</v>
      </c>
      <c r="B36">
        <v>-2.0408163269999999</v>
      </c>
      <c r="C36">
        <v>5.8823529409999997</v>
      </c>
      <c r="D36">
        <v>-8.5714285710000002</v>
      </c>
    </row>
    <row r="37" spans="1:4">
      <c r="A37" t="s">
        <v>2830</v>
      </c>
      <c r="B37">
        <v>20.625</v>
      </c>
      <c r="C37">
        <v>18.94736842</v>
      </c>
      <c r="D37">
        <v>18.145161290000001</v>
      </c>
    </row>
    <row r="38" spans="1:4">
      <c r="A38" t="s">
        <v>2831</v>
      </c>
      <c r="B38">
        <v>-7.5</v>
      </c>
      <c r="C38">
        <v>5.1282051279999994</v>
      </c>
      <c r="D38">
        <v>9.6774193549999996</v>
      </c>
    </row>
    <row r="39" spans="1:4">
      <c r="A39" t="s">
        <v>2832</v>
      </c>
      <c r="B39">
        <v>26.875</v>
      </c>
      <c r="C39">
        <v>28.723404259999999</v>
      </c>
      <c r="D39">
        <v>22.885572140000001</v>
      </c>
    </row>
    <row r="40" spans="1:4">
      <c r="A40" t="s">
        <v>2833</v>
      </c>
      <c r="B40">
        <v>14.432989689999999</v>
      </c>
      <c r="C40">
        <v>15.447154469999999</v>
      </c>
      <c r="D40">
        <v>5.5555555559999998</v>
      </c>
    </row>
    <row r="41" spans="1:4">
      <c r="A41" t="s">
        <v>2834</v>
      </c>
      <c r="B41">
        <v>-31.578947370000002</v>
      </c>
      <c r="C41">
        <v>-33.333333329999988</v>
      </c>
      <c r="D41">
        <v>-12.605042020000001</v>
      </c>
    </row>
    <row r="42" spans="1:4">
      <c r="A42" t="s">
        <v>2835</v>
      </c>
      <c r="B42">
        <v>-6.6666666670000003</v>
      </c>
      <c r="C42">
        <v>11.363636359999999</v>
      </c>
      <c r="D42">
        <v>-13.698630140000001</v>
      </c>
    </row>
    <row r="43" spans="1:4">
      <c r="A43" t="s">
        <v>2836</v>
      </c>
      <c r="B43">
        <v>4.2253521129999996</v>
      </c>
      <c r="C43">
        <v>10.843373489999999</v>
      </c>
      <c r="D43">
        <v>6.0869565220000004</v>
      </c>
    </row>
    <row r="44" spans="1:4">
      <c r="A44" t="s">
        <v>2837</v>
      </c>
      <c r="B44">
        <v>22.049689440000002</v>
      </c>
      <c r="C44">
        <v>26.098901099999999</v>
      </c>
      <c r="D44">
        <v>23.310023309999998</v>
      </c>
    </row>
    <row r="45" spans="1:4">
      <c r="A45" t="s">
        <v>2838</v>
      </c>
      <c r="B45">
        <v>-19.565217390000001</v>
      </c>
      <c r="C45">
        <v>-17.543859650000002</v>
      </c>
      <c r="D45">
        <v>0</v>
      </c>
    </row>
    <row r="46" spans="1:4">
      <c r="A46" t="s">
        <v>2839</v>
      </c>
      <c r="B46">
        <v>28.301886790000001</v>
      </c>
      <c r="C46">
        <v>28.60635697</v>
      </c>
      <c r="D46">
        <v>35.864978899999997</v>
      </c>
    </row>
    <row r="47" spans="1:4">
      <c r="A47" t="s">
        <v>2840</v>
      </c>
      <c r="B47">
        <v>-9.0909090910000003</v>
      </c>
      <c r="C47">
        <v>-1.3698630140000001</v>
      </c>
      <c r="D47">
        <v>-5.6000000000000014</v>
      </c>
    </row>
    <row r="48" spans="1:4">
      <c r="A48" t="s">
        <v>2841</v>
      </c>
      <c r="B48">
        <v>4.4198895029999994</v>
      </c>
      <c r="C48">
        <v>7.0422535210000001</v>
      </c>
      <c r="D48">
        <v>7.1129707109999991</v>
      </c>
    </row>
    <row r="49" spans="1:4">
      <c r="A49" t="s">
        <v>2842</v>
      </c>
      <c r="B49">
        <v>32.404181180000002</v>
      </c>
      <c r="C49">
        <v>34.939759039999998</v>
      </c>
      <c r="D49">
        <v>36.202531649999997</v>
      </c>
    </row>
    <row r="50" spans="1:4">
      <c r="A50" t="s">
        <v>2843</v>
      </c>
      <c r="B50">
        <v>28.395061729999998</v>
      </c>
      <c r="C50">
        <v>36.551724139999997</v>
      </c>
      <c r="D50">
        <v>30.508474580000001</v>
      </c>
    </row>
    <row r="51" spans="1:4">
      <c r="A51" t="s">
        <v>2844</v>
      </c>
      <c r="B51">
        <v>21.875</v>
      </c>
      <c r="C51">
        <v>21.14285714</v>
      </c>
      <c r="D51">
        <v>28.217821780000001</v>
      </c>
    </row>
    <row r="52" spans="1:4">
      <c r="A52" t="s">
        <v>2845</v>
      </c>
      <c r="B52">
        <v>-33.333333329999988</v>
      </c>
      <c r="C52">
        <v>-34.848484849999998</v>
      </c>
      <c r="D52">
        <v>-28.089887640000001</v>
      </c>
    </row>
    <row r="53" spans="1:4">
      <c r="A53" t="s">
        <v>2846</v>
      </c>
      <c r="B53">
        <v>2.8571428569999999</v>
      </c>
      <c r="C53">
        <v>1.2345679009999999</v>
      </c>
      <c r="D53">
        <v>1.5625</v>
      </c>
    </row>
    <row r="54" spans="1:4">
      <c r="A54" t="s">
        <v>2847</v>
      </c>
      <c r="B54">
        <v>-14.634146339999999</v>
      </c>
      <c r="C54">
        <v>-6.7164179099999997</v>
      </c>
      <c r="D54">
        <v>-4.5</v>
      </c>
    </row>
    <row r="55" spans="1:4">
      <c r="A55" t="s">
        <v>2848</v>
      </c>
      <c r="B55">
        <v>3.7974683539999998</v>
      </c>
      <c r="C55">
        <v>3.5928143709999998</v>
      </c>
      <c r="D55">
        <v>5.1851851849999999</v>
      </c>
    </row>
    <row r="56" spans="1:4">
      <c r="A56" t="s">
        <v>2849</v>
      </c>
      <c r="B56">
        <v>-18.18181818</v>
      </c>
      <c r="C56">
        <v>-19.354838709999999</v>
      </c>
      <c r="D56">
        <v>-14.05405405</v>
      </c>
    </row>
    <row r="57" spans="1:4">
      <c r="A57" t="s">
        <v>2850</v>
      </c>
      <c r="B57">
        <v>19.64285714</v>
      </c>
      <c r="C57">
        <v>23.668639049999999</v>
      </c>
      <c r="D57">
        <v>22.429906540000001</v>
      </c>
    </row>
    <row r="58" spans="1:4">
      <c r="A58" t="s">
        <v>2851</v>
      </c>
      <c r="B58">
        <v>10.90909091</v>
      </c>
      <c r="C58">
        <v>10.67961165</v>
      </c>
      <c r="D58">
        <v>15.63275434</v>
      </c>
    </row>
    <row r="59" spans="1:4">
      <c r="A59" t="s">
        <v>2852</v>
      </c>
      <c r="B59">
        <v>-8</v>
      </c>
      <c r="C59">
        <v>-8.8435374150000001</v>
      </c>
      <c r="D59">
        <v>-11.224489800000001</v>
      </c>
    </row>
    <row r="60" spans="1:4">
      <c r="A60" t="s">
        <v>2853</v>
      </c>
      <c r="B60">
        <v>-23.287671230000001</v>
      </c>
      <c r="C60">
        <v>-3.7974683539999998</v>
      </c>
      <c r="D60">
        <v>-11.81818182</v>
      </c>
    </row>
    <row r="61" spans="1:4">
      <c r="A61" t="s">
        <v>2854</v>
      </c>
      <c r="B61">
        <v>-4.1666666669999994</v>
      </c>
      <c r="C61">
        <v>-16</v>
      </c>
      <c r="D61">
        <v>-5</v>
      </c>
    </row>
    <row r="62" spans="1:4">
      <c r="A62" t="s">
        <v>2855</v>
      </c>
      <c r="B62">
        <v>13.87559809</v>
      </c>
      <c r="C62">
        <v>12.18487395</v>
      </c>
      <c r="D62">
        <v>16.94352159</v>
      </c>
    </row>
    <row r="63" spans="1:4">
      <c r="A63" t="s">
        <v>2856</v>
      </c>
      <c r="B63">
        <v>25.352112680000001</v>
      </c>
      <c r="C63">
        <v>25.32188841</v>
      </c>
      <c r="D63">
        <v>24.271844659999999</v>
      </c>
    </row>
    <row r="64" spans="1:4">
      <c r="A64" t="s">
        <v>2857</v>
      </c>
      <c r="B64">
        <v>-22.222222219999999</v>
      </c>
      <c r="C64">
        <v>-9.2592592590000002</v>
      </c>
      <c r="D64">
        <v>-9.0909090910000003</v>
      </c>
    </row>
    <row r="65" spans="1:4">
      <c r="A65" t="s">
        <v>2858</v>
      </c>
      <c r="B65">
        <v>14.13043478</v>
      </c>
      <c r="C65">
        <v>17.475728159999999</v>
      </c>
      <c r="D65">
        <v>13.235294120000001</v>
      </c>
    </row>
    <row r="66" spans="1:4">
      <c r="A66" t="s">
        <v>2859</v>
      </c>
      <c r="B66">
        <v>-11.34020619</v>
      </c>
      <c r="C66">
        <v>-5.263157895</v>
      </c>
      <c r="D66">
        <v>18.699186990000001</v>
      </c>
    </row>
    <row r="67" spans="1:4">
      <c r="A67" t="s">
        <v>2860</v>
      </c>
      <c r="B67">
        <v>4.294478528</v>
      </c>
      <c r="C67">
        <v>9.1428571430000005</v>
      </c>
      <c r="D67">
        <v>5.6390977439999999</v>
      </c>
    </row>
    <row r="68" spans="1:4">
      <c r="A68" t="s">
        <v>2861</v>
      </c>
      <c r="B68">
        <v>-7.3770491800000002</v>
      </c>
      <c r="C68">
        <v>-2.097902098</v>
      </c>
      <c r="D68">
        <v>-2.9126213590000001</v>
      </c>
    </row>
    <row r="69" spans="1:4">
      <c r="A69" t="s">
        <v>2862</v>
      </c>
      <c r="B69">
        <v>10.240963860000001</v>
      </c>
      <c r="C69">
        <v>11.64021164</v>
      </c>
      <c r="D69">
        <v>2.1276595739999999</v>
      </c>
    </row>
    <row r="70" spans="1:4">
      <c r="A70" t="s">
        <v>2863</v>
      </c>
      <c r="B70">
        <v>12.47401247</v>
      </c>
      <c r="C70">
        <v>13.13485114</v>
      </c>
      <c r="D70">
        <v>9.7629009759999992</v>
      </c>
    </row>
    <row r="71" spans="1:4">
      <c r="A71" t="s">
        <v>2864</v>
      </c>
      <c r="B71">
        <v>50.188205770000003</v>
      </c>
      <c r="C71">
        <v>48.688352569999999</v>
      </c>
      <c r="D71">
        <v>52.697841729999993</v>
      </c>
    </row>
    <row r="72" spans="1:4">
      <c r="A72" t="s">
        <v>2865</v>
      </c>
      <c r="B72">
        <v>19.459459460000001</v>
      </c>
      <c r="C72">
        <v>15.311004779999999</v>
      </c>
      <c r="D72">
        <v>9.0909090910000003</v>
      </c>
    </row>
    <row r="73" spans="1:4">
      <c r="A73" t="s">
        <v>2866</v>
      </c>
      <c r="B73">
        <v>28.07017544</v>
      </c>
      <c r="C73">
        <v>26.612903230000001</v>
      </c>
      <c r="D73">
        <v>24.09638554</v>
      </c>
    </row>
    <row r="74" spans="1:4">
      <c r="A74" t="s">
        <v>2867</v>
      </c>
      <c r="B74">
        <v>-9.2105263159999993</v>
      </c>
      <c r="C74">
        <v>-5.4216867469999999</v>
      </c>
      <c r="D74">
        <v>-3.3980582519999998</v>
      </c>
    </row>
    <row r="75" spans="1:4">
      <c r="A75" t="s">
        <v>2868</v>
      </c>
      <c r="B75">
        <v>28.671328670000001</v>
      </c>
      <c r="C75">
        <v>31.906614789999999</v>
      </c>
      <c r="D75">
        <v>28.49915683</v>
      </c>
    </row>
    <row r="76" spans="1:4">
      <c r="A76" t="s">
        <v>128</v>
      </c>
      <c r="B76">
        <v>37.142857139999997</v>
      </c>
      <c r="C76">
        <v>36.456211809999999</v>
      </c>
      <c r="D76">
        <v>26.60714286</v>
      </c>
    </row>
    <row r="77" spans="1:4">
      <c r="A77" t="s">
        <v>2869</v>
      </c>
      <c r="B77">
        <v>-5.5555555559999998</v>
      </c>
      <c r="C77">
        <v>-5.263157895</v>
      </c>
      <c r="D77">
        <v>-10.76923077</v>
      </c>
    </row>
    <row r="78" spans="1:4">
      <c r="A78" t="s">
        <v>2870</v>
      </c>
      <c r="B78">
        <v>44.242424239999998</v>
      </c>
      <c r="C78">
        <v>41.875</v>
      </c>
      <c r="D78">
        <v>41.142857139999997</v>
      </c>
    </row>
    <row r="79" spans="1:4">
      <c r="A79" t="s">
        <v>2871</v>
      </c>
      <c r="B79">
        <v>-20</v>
      </c>
      <c r="C79">
        <v>-15.38461538</v>
      </c>
      <c r="D79">
        <v>-11.165048540000001</v>
      </c>
    </row>
    <row r="80" spans="1:4">
      <c r="A80" t="s">
        <v>2872</v>
      </c>
      <c r="B80">
        <v>1.6393442620000001</v>
      </c>
      <c r="C80">
        <v>7.0422535210000001</v>
      </c>
      <c r="D80">
        <v>-9.9009900989999995</v>
      </c>
    </row>
    <row r="81" spans="1:4">
      <c r="A81" t="s">
        <v>2873</v>
      </c>
      <c r="B81">
        <v>15.204678360000001</v>
      </c>
      <c r="C81">
        <v>15.38461538</v>
      </c>
      <c r="D81">
        <v>15.936254979999999</v>
      </c>
    </row>
    <row r="82" spans="1:4">
      <c r="A82" t="s">
        <v>2874</v>
      </c>
      <c r="B82">
        <v>-5.7851239669999996</v>
      </c>
      <c r="C82">
        <v>3.846153846</v>
      </c>
      <c r="D82">
        <v>5.6603773579999999</v>
      </c>
    </row>
    <row r="83" spans="1:4">
      <c r="A83" t="s">
        <v>2875</v>
      </c>
      <c r="B83">
        <v>-13.46153846</v>
      </c>
      <c r="C83">
        <v>-16.129032259999999</v>
      </c>
      <c r="D83">
        <v>-22.11538462</v>
      </c>
    </row>
    <row r="84" spans="1:4">
      <c r="A84" t="s">
        <v>2876</v>
      </c>
      <c r="B84">
        <v>-17.475728159999999</v>
      </c>
      <c r="C84">
        <v>-21.367521369999999</v>
      </c>
      <c r="D84">
        <v>-18.633540369999999</v>
      </c>
    </row>
    <row r="85" spans="1:4">
      <c r="A85" t="s">
        <v>2877</v>
      </c>
      <c r="B85">
        <v>6.3380281690000002</v>
      </c>
      <c r="C85">
        <v>6.9767441860000003</v>
      </c>
      <c r="D85">
        <v>5.2380952379999997</v>
      </c>
    </row>
    <row r="86" spans="1:4">
      <c r="A86" t="s">
        <v>2878</v>
      </c>
      <c r="B86">
        <v>6.9182389940000002</v>
      </c>
      <c r="C86">
        <v>15.04178273</v>
      </c>
      <c r="D86">
        <v>10.85972851</v>
      </c>
    </row>
    <row r="87" spans="1:4">
      <c r="A87" t="s">
        <v>2879</v>
      </c>
      <c r="B87">
        <v>-2.8901734100000001</v>
      </c>
      <c r="C87">
        <v>2.8985507250000002</v>
      </c>
      <c r="D87">
        <v>-10.35714286</v>
      </c>
    </row>
    <row r="88" spans="1:4">
      <c r="A88" t="s">
        <v>2880</v>
      </c>
      <c r="B88">
        <v>-3.703703704</v>
      </c>
      <c r="C88">
        <v>1.0869565219999999</v>
      </c>
      <c r="D88">
        <v>0</v>
      </c>
    </row>
    <row r="89" spans="1:4">
      <c r="A89" t="s">
        <v>2881</v>
      </c>
      <c r="B89">
        <v>6.3157894739999998</v>
      </c>
      <c r="C89">
        <v>7.4468085109999986</v>
      </c>
      <c r="D89">
        <v>5.0420168070000004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FBFBF"/>
    <pageSetUpPr fitToPage="1"/>
  </sheetPr>
  <dimension ref="A1:C16"/>
  <sheetViews>
    <sheetView workbookViewId="0"/>
  </sheetViews>
  <sheetFormatPr defaultRowHeight="15"/>
  <sheetData>
    <row r="1" spans="1:3">
      <c r="A1" t="s">
        <v>2882</v>
      </c>
    </row>
    <row r="3" spans="1:3">
      <c r="A3" t="s">
        <v>2734</v>
      </c>
    </row>
    <row r="5" spans="1:3">
      <c r="A5" t="s">
        <v>2744</v>
      </c>
      <c r="B5" t="s">
        <v>2883</v>
      </c>
      <c r="C5" t="s">
        <v>2884</v>
      </c>
    </row>
    <row r="6" spans="1:3">
      <c r="A6" t="s">
        <v>2885</v>
      </c>
      <c r="B6">
        <v>60.606060606060609</v>
      </c>
      <c r="C6">
        <v>59.45945945945946</v>
      </c>
    </row>
    <row r="7" spans="1:3">
      <c r="A7" t="s">
        <v>2886</v>
      </c>
      <c r="B7">
        <v>45.454545454545453</v>
      </c>
      <c r="C7">
        <v>56.756756756756758</v>
      </c>
    </row>
    <row r="8" spans="1:3">
      <c r="A8" t="s">
        <v>2887</v>
      </c>
      <c r="B8">
        <v>54.54545454545454</v>
      </c>
      <c r="C8">
        <v>51.351351351351347</v>
      </c>
    </row>
    <row r="9" spans="1:3">
      <c r="A9" t="s">
        <v>2888</v>
      </c>
      <c r="B9">
        <v>21.212121212121211</v>
      </c>
      <c r="C9">
        <v>37.837837837837839</v>
      </c>
    </row>
    <row r="10" spans="1:3">
      <c r="A10" t="s">
        <v>2889</v>
      </c>
      <c r="B10">
        <v>33.333333333333329</v>
      </c>
      <c r="C10">
        <v>32.432432432432442</v>
      </c>
    </row>
    <row r="11" spans="1:3">
      <c r="A11" t="s">
        <v>2890</v>
      </c>
      <c r="B11">
        <v>24.242424242424239</v>
      </c>
      <c r="C11">
        <v>24.32432432432433</v>
      </c>
    </row>
    <row r="12" spans="1:3">
      <c r="A12" t="s">
        <v>2891</v>
      </c>
      <c r="B12">
        <v>24.242424242424239</v>
      </c>
      <c r="C12">
        <v>18.918918918918919</v>
      </c>
    </row>
    <row r="13" spans="1:3">
      <c r="A13" t="s">
        <v>2892</v>
      </c>
      <c r="B13">
        <v>15.15151515151515</v>
      </c>
      <c r="C13">
        <v>16.216216216216221</v>
      </c>
    </row>
    <row r="14" spans="1:3">
      <c r="A14" t="s">
        <v>2893</v>
      </c>
      <c r="B14">
        <v>24.242424242424239</v>
      </c>
      <c r="C14">
        <v>10.810810810810811</v>
      </c>
    </row>
    <row r="15" spans="1:3">
      <c r="A15" t="s">
        <v>2894</v>
      </c>
      <c r="B15">
        <v>15.15151515151515</v>
      </c>
      <c r="C15">
        <v>10.810810810810811</v>
      </c>
    </row>
    <row r="16" spans="1:3">
      <c r="A16" t="s">
        <v>2731</v>
      </c>
      <c r="B16">
        <v>6.0606060606060614</v>
      </c>
      <c r="C16">
        <v>2.7027027027027022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BFBFBF"/>
    <pageSetUpPr fitToPage="1"/>
  </sheetPr>
  <dimension ref="A1:B8"/>
  <sheetViews>
    <sheetView workbookViewId="0"/>
  </sheetViews>
  <sheetFormatPr defaultRowHeight="15"/>
  <sheetData>
    <row r="1" spans="1:2">
      <c r="A1" t="s">
        <v>2895</v>
      </c>
    </row>
    <row r="3" spans="1:2">
      <c r="A3" t="s">
        <v>2734</v>
      </c>
    </row>
    <row r="5" spans="1:2">
      <c r="A5" t="s">
        <v>2744</v>
      </c>
      <c r="B5" t="s">
        <v>2896</v>
      </c>
    </row>
    <row r="6" spans="1:2">
      <c r="A6" t="s">
        <v>2774</v>
      </c>
      <c r="B6">
        <v>25.476190476190471</v>
      </c>
    </row>
    <row r="7" spans="1:2">
      <c r="A7" t="s">
        <v>2764</v>
      </c>
      <c r="B7">
        <v>51.904761904761912</v>
      </c>
    </row>
    <row r="8" spans="1:2">
      <c r="A8" t="s">
        <v>2788</v>
      </c>
      <c r="B8">
        <v>22.61904761904762</v>
      </c>
    </row>
  </sheetData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16A20"/>
    <pageSetUpPr fitToPage="1"/>
  </sheetPr>
  <dimension ref="A1:H27"/>
  <sheetViews>
    <sheetView showGridLines="0" workbookViewId="0"/>
  </sheetViews>
  <sheetFormatPr defaultRowHeight="15"/>
  <cols>
    <col min="1" max="1" width="4" customWidth="1"/>
    <col min="2" max="7" width="20" customWidth="1"/>
    <col min="8" max="8" width="28" customWidth="1"/>
  </cols>
  <sheetData>
    <row r="1" spans="1:8">
      <c r="A1" s="37" t="s">
        <v>2897</v>
      </c>
      <c r="B1" s="69"/>
      <c r="C1" s="69"/>
      <c r="D1" s="69"/>
      <c r="E1" s="69"/>
      <c r="F1" s="69"/>
      <c r="G1" s="69"/>
      <c r="H1" s="69"/>
    </row>
    <row r="2" spans="1:8">
      <c r="A2" s="69"/>
      <c r="B2" s="69"/>
      <c r="C2" s="69"/>
      <c r="D2" s="69"/>
      <c r="E2" s="69"/>
      <c r="F2" s="69"/>
      <c r="G2" s="69"/>
      <c r="H2" s="69"/>
    </row>
    <row r="3" spans="1:8" ht="33.950000000000003" customHeight="1">
      <c r="A3" s="47" t="s">
        <v>2898</v>
      </c>
      <c r="B3" s="69"/>
      <c r="C3" s="69"/>
      <c r="D3" s="69"/>
      <c r="E3" s="69"/>
      <c r="F3" s="69"/>
      <c r="G3" s="69"/>
      <c r="H3" s="69"/>
    </row>
    <row r="5" spans="1:8">
      <c r="B5" s="1" t="s">
        <v>2899</v>
      </c>
      <c r="C5" s="84" t="s">
        <v>2900</v>
      </c>
      <c r="D5" s="69"/>
      <c r="E5" s="69"/>
      <c r="F5" s="69"/>
      <c r="G5" s="69"/>
    </row>
    <row r="6" spans="1:8">
      <c r="B6" s="1" t="s">
        <v>2901</v>
      </c>
      <c r="C6" s="84" t="s">
        <v>2902</v>
      </c>
      <c r="D6" s="69"/>
      <c r="E6" s="69"/>
      <c r="F6" s="69"/>
      <c r="G6" s="69"/>
    </row>
    <row r="7" spans="1:8">
      <c r="B7" s="1" t="s">
        <v>2903</v>
      </c>
      <c r="C7" s="84" t="s">
        <v>2904</v>
      </c>
      <c r="D7" s="69"/>
      <c r="E7" s="69"/>
      <c r="F7" s="69"/>
      <c r="G7" s="69"/>
    </row>
    <row r="8" spans="1:8">
      <c r="B8" s="1" t="s">
        <v>150</v>
      </c>
      <c r="C8" s="84" t="s">
        <v>2905</v>
      </c>
      <c r="D8" s="69"/>
      <c r="E8" s="69"/>
      <c r="F8" s="69"/>
      <c r="G8" s="69"/>
    </row>
    <row r="11" spans="1:8">
      <c r="A11" s="67" t="s">
        <v>2906</v>
      </c>
      <c r="B11" s="69"/>
      <c r="C11" s="69"/>
      <c r="D11" s="69"/>
      <c r="E11" s="69"/>
      <c r="F11" s="69"/>
      <c r="G11" s="69"/>
      <c r="H11" s="69"/>
    </row>
    <row r="12" spans="1:8">
      <c r="B12" s="68" t="s">
        <v>2907</v>
      </c>
      <c r="C12" s="69"/>
      <c r="D12" s="69"/>
      <c r="E12" s="69"/>
      <c r="F12" s="69"/>
      <c r="G12" s="69"/>
      <c r="H12" s="69"/>
    </row>
    <row r="13" spans="1:8">
      <c r="B13" s="69"/>
      <c r="C13" s="69"/>
      <c r="D13" s="69"/>
      <c r="E13" s="69"/>
      <c r="F13" s="69"/>
      <c r="G13" s="69"/>
      <c r="H13" s="69"/>
    </row>
    <row r="14" spans="1:8">
      <c r="B14" s="69"/>
      <c r="C14" s="69"/>
      <c r="D14" s="69"/>
      <c r="E14" s="69"/>
      <c r="F14" s="69"/>
      <c r="G14" s="69"/>
      <c r="H14" s="69"/>
    </row>
    <row r="15" spans="1:8">
      <c r="B15" s="69"/>
      <c r="C15" s="69"/>
      <c r="D15" s="69"/>
      <c r="E15" s="69"/>
      <c r="F15" s="69"/>
      <c r="G15" s="69"/>
      <c r="H15" s="69"/>
    </row>
    <row r="16" spans="1:8">
      <c r="B16" s="69"/>
      <c r="C16" s="69"/>
      <c r="D16" s="69"/>
      <c r="E16" s="69"/>
      <c r="F16" s="69"/>
      <c r="G16" s="69"/>
      <c r="H16" s="69"/>
    </row>
    <row r="17" spans="2:8">
      <c r="B17" s="69"/>
      <c r="C17" s="69"/>
      <c r="D17" s="69"/>
      <c r="E17" s="69"/>
      <c r="F17" s="69"/>
      <c r="G17" s="69"/>
      <c r="H17" s="69"/>
    </row>
    <row r="18" spans="2:8">
      <c r="B18" s="69"/>
      <c r="C18" s="69"/>
      <c r="D18" s="69"/>
      <c r="E18" s="69"/>
      <c r="F18" s="69"/>
      <c r="G18" s="69"/>
      <c r="H18" s="69"/>
    </row>
    <row r="19" spans="2:8">
      <c r="B19" s="69"/>
      <c r="C19" s="69"/>
      <c r="D19" s="69"/>
      <c r="E19" s="69"/>
      <c r="F19" s="69"/>
      <c r="G19" s="69"/>
      <c r="H19" s="69"/>
    </row>
    <row r="20" spans="2:8">
      <c r="B20" s="69"/>
      <c r="C20" s="69"/>
      <c r="D20" s="69"/>
      <c r="E20" s="69"/>
      <c r="F20" s="69"/>
      <c r="G20" s="69"/>
      <c r="H20" s="69"/>
    </row>
    <row r="21" spans="2:8">
      <c r="B21" s="69"/>
      <c r="C21" s="69"/>
      <c r="D21" s="69"/>
      <c r="E21" s="69"/>
      <c r="F21" s="69"/>
      <c r="G21" s="69"/>
      <c r="H21" s="69"/>
    </row>
    <row r="22" spans="2:8">
      <c r="B22" s="69"/>
      <c r="C22" s="69"/>
      <c r="D22" s="69"/>
      <c r="E22" s="69"/>
      <c r="F22" s="69"/>
      <c r="G22" s="69"/>
      <c r="H22" s="69"/>
    </row>
    <row r="23" spans="2:8">
      <c r="B23" s="69"/>
      <c r="C23" s="69"/>
      <c r="D23" s="69"/>
      <c r="E23" s="69"/>
      <c r="F23" s="69"/>
      <c r="G23" s="69"/>
      <c r="H23" s="69"/>
    </row>
    <row r="24" spans="2:8">
      <c r="B24" s="69"/>
      <c r="C24" s="69"/>
      <c r="D24" s="69"/>
      <c r="E24" s="69"/>
      <c r="F24" s="69"/>
      <c r="G24" s="69"/>
      <c r="H24" s="69"/>
    </row>
    <row r="25" spans="2:8">
      <c r="B25" s="69"/>
      <c r="C25" s="69"/>
      <c r="D25" s="69"/>
      <c r="E25" s="69"/>
      <c r="F25" s="69"/>
      <c r="G25" s="69"/>
      <c r="H25" s="69"/>
    </row>
    <row r="26" spans="2:8">
      <c r="B26" s="69"/>
      <c r="C26" s="69"/>
      <c r="D26" s="69"/>
      <c r="E26" s="69"/>
      <c r="F26" s="69"/>
      <c r="G26" s="69"/>
      <c r="H26" s="69"/>
    </row>
    <row r="27" spans="2:8">
      <c r="B27" s="69"/>
      <c r="C27" s="69"/>
      <c r="D27" s="69"/>
      <c r="E27" s="69"/>
      <c r="F27" s="69"/>
      <c r="G27" s="69"/>
      <c r="H27" s="69"/>
    </row>
  </sheetData>
  <mergeCells count="8">
    <mergeCell ref="A1:H2"/>
    <mergeCell ref="C8:G8"/>
    <mergeCell ref="B12:H27"/>
    <mergeCell ref="A3:H3"/>
    <mergeCell ref="C7:G7"/>
    <mergeCell ref="C6:G6"/>
    <mergeCell ref="C5:G5"/>
    <mergeCell ref="A11:H11"/>
  </mergeCells>
  <pageMargins left="0.75" right="0.75" top="1" bottom="1" header="0.5" footer="0.5"/>
  <pageSetup fitToHeight="0"/>
  <headerFooter>
    <oddFooter>&amp;CCrowdStrike REVEAL Simplified Research Workbench | Human Review Required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CrowdStrike REVEAL V4.0 — Research Lineage Workbench</dc:title>
  <dc:subject>Evidence-first, signal-second, lineage-third workflow with normalized Evidence-to-Signal relationships</dc:subject>
  <dc:creator>Brian Chaitoff</dc:creator>
  <cp:keywords/>
  <dc:description/>
  <cp:lastModifiedBy/>
  <cp:revision/>
  <dcterms:created xsi:type="dcterms:W3CDTF">2026-09-12T22:41:42Z</dcterms:created>
  <dcterms:modified xsi:type="dcterms:W3CDTF">2026-09-12T22:49:50Z</dcterms:modified>
  <cp:category/>
  <cp:contentStatus/>
</cp:coreProperties>
</file>